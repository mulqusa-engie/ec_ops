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6720\Github\ec_ops\data\"/>
    </mc:Choice>
  </mc:AlternateContent>
  <xr:revisionPtr revIDLastSave="0" documentId="13_ncr:1_{6352DB5B-5BEA-455A-BF23-40CFE60E916C}" xr6:coauthVersionLast="47" xr6:coauthVersionMax="47" xr10:uidLastSave="{00000000-0000-0000-0000-000000000000}"/>
  <bookViews>
    <workbookView xWindow="-38520" yWindow="-105" windowWidth="38640" windowHeight="21120" xr2:uid="{C8262D5F-1F61-4BCE-99AC-AC1AC30DB7C7}"/>
  </bookViews>
  <sheets>
    <sheet name="ALIGNE" sheetId="9" r:id="rId1"/>
    <sheet name="COMBINED" sheetId="7" r:id="rId2"/>
    <sheet name="EXCHANGE_FEES" sheetId="13" r:id="rId3"/>
    <sheet name="FORMULA" sheetId="12" r:id="rId4"/>
    <sheet name="ASSETS" sheetId="10" r:id="rId5"/>
    <sheet name="XREF_ASSETS" sheetId="11" r:id="rId6"/>
    <sheet name="PJM_IRIS" sheetId="14" r:id="rId7"/>
    <sheet name="TX" sheetId="3" state="hidden" r:id="rId8"/>
    <sheet name="PJM" sheetId="1" state="hidden" r:id="rId9"/>
    <sheet name="NY" sheetId="4" state="hidden" r:id="rId10"/>
    <sheet name="ISONE" sheetId="6" state="hidden" r:id="rId11"/>
    <sheet name="OTHER" sheetId="2" state="hidden" r:id="rId12"/>
    <sheet name="CPS AND CES" sheetId="8" state="hidden" r:id="rId13"/>
  </sheets>
  <definedNames>
    <definedName name="_xlnm._FilterDatabase" localSheetId="0" hidden="1">ALIGNE!$A$1:$H$140</definedName>
    <definedName name="_xlnm._FilterDatabase" localSheetId="1" hidden="1">COMBINED!$A$1:$H$79</definedName>
    <definedName name="_xlnm._FilterDatabase" localSheetId="2" hidden="1">EXCHANGE_FEES!$A$1:$I$66</definedName>
    <definedName name="_xlnm._FilterDatabase" localSheetId="3" hidden="1">FORMULA!$A$1:$J$128</definedName>
    <definedName name="_xlnm._FilterDatabase" localSheetId="10" hidden="1">ISONE!$A$1:$H$41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0" l="1"/>
  <c r="H27" i="14"/>
  <c r="H26" i="14"/>
  <c r="C25" i="14"/>
  <c r="H25" i="14" s="1"/>
  <c r="C24" i="14"/>
  <c r="H24" i="14" s="1"/>
  <c r="C23" i="14"/>
  <c r="H23" i="14" s="1"/>
  <c r="C22" i="14"/>
  <c r="H22" i="14" s="1"/>
  <c r="C21" i="14"/>
  <c r="H21" i="14" s="1"/>
  <c r="C20" i="14"/>
  <c r="H20" i="14" s="1"/>
  <c r="C19" i="14"/>
  <c r="H19" i="14" s="1"/>
  <c r="H18" i="14"/>
  <c r="C18" i="14"/>
  <c r="C17" i="14"/>
  <c r="H17" i="14" s="1"/>
  <c r="C16" i="14"/>
  <c r="H16" i="14" s="1"/>
  <c r="C15" i="14"/>
  <c r="H15" i="14" s="1"/>
  <c r="C14" i="14"/>
  <c r="H14" i="14" s="1"/>
  <c r="C13" i="14"/>
  <c r="H13" i="14" s="1"/>
  <c r="C12" i="14"/>
  <c r="H12" i="14" s="1"/>
  <c r="C11" i="14"/>
  <c r="H11" i="14" s="1"/>
  <c r="C10" i="14"/>
  <c r="H10" i="14" s="1"/>
  <c r="C9" i="14"/>
  <c r="H9" i="14" s="1"/>
  <c r="C8" i="14"/>
  <c r="H8" i="14" s="1"/>
  <c r="C7" i="14"/>
  <c r="H7" i="14" s="1"/>
  <c r="C6" i="14"/>
  <c r="H6" i="14" s="1"/>
  <c r="C5" i="14"/>
  <c r="H5" i="14" s="1"/>
  <c r="C4" i="14"/>
  <c r="H4" i="14" s="1"/>
  <c r="C3" i="14"/>
  <c r="H3" i="14" s="1"/>
  <c r="C2" i="14"/>
  <c r="H2" i="14" s="1"/>
  <c r="C11" i="10"/>
  <c r="C10" i="10"/>
  <c r="C9" i="10"/>
  <c r="C8" i="10"/>
  <c r="C7" i="10"/>
  <c r="C6" i="10"/>
  <c r="C5" i="10"/>
  <c r="C4" i="10"/>
  <c r="C3" i="10"/>
  <c r="C2" i="10"/>
  <c r="C14" i="7"/>
  <c r="C13" i="7"/>
  <c r="C12" i="7"/>
  <c r="C56" i="7"/>
  <c r="C55" i="7"/>
  <c r="C54" i="7"/>
  <c r="C11" i="7"/>
  <c r="C10" i="7"/>
  <c r="C9" i="7"/>
  <c r="C53" i="7"/>
  <c r="C52" i="7"/>
  <c r="C51" i="7"/>
  <c r="C8" i="7"/>
  <c r="C7" i="7"/>
  <c r="C50" i="7"/>
  <c r="C49" i="7"/>
  <c r="C6" i="7"/>
  <c r="C48" i="7"/>
  <c r="C5" i="7"/>
  <c r="C4" i="7"/>
  <c r="C3" i="7"/>
  <c r="C47" i="7"/>
  <c r="C46" i="7"/>
  <c r="C45" i="7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 l="1"/>
  <c r="H10" i="6"/>
  <c r="H9" i="6"/>
  <c r="H8" i="6"/>
  <c r="H7" i="6"/>
  <c r="H6" i="6"/>
  <c r="H5" i="6"/>
  <c r="H4" i="6"/>
  <c r="H3" i="6"/>
  <c r="H2" i="6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<sst xmlns="http://schemas.openxmlformats.org/spreadsheetml/2006/main" count="4233" uniqueCount="519">
  <si>
    <t>ID</t>
  </si>
  <si>
    <t>CURVE_NAME_DISPLAY</t>
  </si>
  <si>
    <t>State</t>
  </si>
  <si>
    <t>CURVE_NAME_IRIS</t>
  </si>
  <si>
    <t>CURVE_NAME_ALIGNE</t>
  </si>
  <si>
    <t>CURVE_TYPE</t>
  </si>
  <si>
    <t>UOM</t>
  </si>
  <si>
    <t>POSITION_NAME</t>
  </si>
  <si>
    <t>PJM_FAC_RPS_T1_NJ</t>
  </si>
  <si>
    <t>NJSO</t>
  </si>
  <si>
    <t>OBLIGATION</t>
  </si>
  <si>
    <t>%</t>
  </si>
  <si>
    <t>Solar</t>
  </si>
  <si>
    <t>PJM_FAC_RPS_T2_NJ</t>
  </si>
  <si>
    <t>NJC1</t>
  </si>
  <si>
    <t>Class I</t>
  </si>
  <si>
    <t>PJM_FAC_RPS_T3_NJ</t>
  </si>
  <si>
    <t>NJC2</t>
  </si>
  <si>
    <t>Class II</t>
  </si>
  <si>
    <t>PJM_PRC_RPS_T1_NJ</t>
  </si>
  <si>
    <t>CURVE</t>
  </si>
  <si>
    <t>$/REC</t>
  </si>
  <si>
    <t>PJM_PRC_RPS_T2_NJ</t>
  </si>
  <si>
    <t>PJM_PRC_RPS_T3_NJ</t>
  </si>
  <si>
    <t>PJM_FAC_RPS_T3_OH</t>
  </si>
  <si>
    <t>OHION</t>
  </si>
  <si>
    <t>Renewable</t>
  </si>
  <si>
    <t>PJM_PRC_RPS_T3_OH</t>
  </si>
  <si>
    <t>PJM_FAC_RPS_T1_DC</t>
  </si>
  <si>
    <t>DCSO</t>
  </si>
  <si>
    <t>PJM_FAC_RPS_T2_DC</t>
  </si>
  <si>
    <t>DCT1</t>
  </si>
  <si>
    <t>Tier I</t>
  </si>
  <si>
    <t>PJM_PRC_RPS_T1_DC</t>
  </si>
  <si>
    <t>PJM_PRC_RPS_T2_DC</t>
  </si>
  <si>
    <t>PJM_FAC_RPS_T1_MD</t>
  </si>
  <si>
    <t>MDSO</t>
  </si>
  <si>
    <t>PJM_FAC_RPS_T2_MD</t>
  </si>
  <si>
    <t>MDC1</t>
  </si>
  <si>
    <t>PJM_FAC_RPS_T3_MD</t>
  </si>
  <si>
    <t>BVREC</t>
  </si>
  <si>
    <t>Tier II</t>
  </si>
  <si>
    <t>PJM_PRC_RPS_T1_MD</t>
  </si>
  <si>
    <t>PJM_PRC_RPS_T2_MD</t>
  </si>
  <si>
    <t>PJM_PRC_RPS_T3_MD</t>
  </si>
  <si>
    <t>PJM_FAC_RPS_T1_PA</t>
  </si>
  <si>
    <t>PASO</t>
  </si>
  <si>
    <t>PJM_FAC_RPS_T2_PA</t>
  </si>
  <si>
    <t>PAT1</t>
  </si>
  <si>
    <t>PJM_FAC_RPS_T3_PA</t>
  </si>
  <si>
    <t>PAT2</t>
  </si>
  <si>
    <t>PJM_PRC_RPS_T1_PA</t>
  </si>
  <si>
    <t>PJM_PRC_RPS_T2_PA</t>
  </si>
  <si>
    <t>PJM_PRC_RPS_T3_PA</t>
  </si>
  <si>
    <t>POSITION_NAME_STATE</t>
  </si>
  <si>
    <t>DC_Solar</t>
  </si>
  <si>
    <t>DC_Tier I</t>
  </si>
  <si>
    <t>DC_Solar_GF1</t>
  </si>
  <si>
    <t>DC_Tier I_GF1</t>
  </si>
  <si>
    <t>MD_Solar_GF2</t>
  </si>
  <si>
    <t>MD_Tier I_GF2</t>
  </si>
  <si>
    <t>MD_Tier II_GF2</t>
  </si>
  <si>
    <t>MD_Geothermal_GF2</t>
  </si>
  <si>
    <t>MD_Solar_GF1</t>
  </si>
  <si>
    <t>MD_Tier I_GF1</t>
  </si>
  <si>
    <t>MD_Tier II_GF1</t>
  </si>
  <si>
    <t>MD_Geothermal_GF1</t>
  </si>
  <si>
    <t>NJ_Class I</t>
  </si>
  <si>
    <t>NJ_Class II</t>
  </si>
  <si>
    <t>NJ_Solar</t>
  </si>
  <si>
    <t>OH_Renewable</t>
  </si>
  <si>
    <t>PA_Solar</t>
  </si>
  <si>
    <t>PA_Tier I</t>
  </si>
  <si>
    <t>PA_Tier II</t>
  </si>
  <si>
    <t>MD_Solar</t>
  </si>
  <si>
    <t>MD_Tier I</t>
  </si>
  <si>
    <t>MD_Tier II</t>
  </si>
  <si>
    <t>MD_Geothermal</t>
  </si>
  <si>
    <t>MD_Solar_GF3</t>
  </si>
  <si>
    <t>MD_Tier I_GF3</t>
  </si>
  <si>
    <t>MD_Tier II_GF3</t>
  </si>
  <si>
    <t>MD_Geothermal_GF3</t>
  </si>
  <si>
    <t>TIER_GROUP</t>
  </si>
  <si>
    <t>TIER_SPECIFIC</t>
  </si>
  <si>
    <t>TX</t>
  </si>
  <si>
    <t>ERCOT_FAC_RPS_T1_TX</t>
  </si>
  <si>
    <t>ERCOT_PRC_RPS_T1_TX</t>
  </si>
  <si>
    <t>TX_REC</t>
  </si>
  <si>
    <t>NYISO_FAC_RPS_T1_NY</t>
  </si>
  <si>
    <t>NYISO_PRC_RPS_T1_NY</t>
  </si>
  <si>
    <t>NY</t>
  </si>
  <si>
    <t>NY_Tier I</t>
  </si>
  <si>
    <t>REC</t>
  </si>
  <si>
    <t>NEPOOL_FAC_RPS_T1_CT</t>
  </si>
  <si>
    <t>NEPOOL_FAC_RPS_T2_CT</t>
  </si>
  <si>
    <t>NEPOOL_FAC_RPS_T3_CT</t>
  </si>
  <si>
    <t>CT</t>
  </si>
  <si>
    <t>NEPOOL_PRC_RPS_T1_CT</t>
  </si>
  <si>
    <t>NEPOOL_PRC_RPS_T2_CT</t>
  </si>
  <si>
    <t>NEPOOL_PRC_RPS_T3_CT</t>
  </si>
  <si>
    <t>NEPOOL_FAC_RPS_T1_RI</t>
  </si>
  <si>
    <t>NEPOOL_FAC_RPS_T2_RI</t>
  </si>
  <si>
    <t>RI</t>
  </si>
  <si>
    <t>NEPOOL_PRC_RPS_T1_RI</t>
  </si>
  <si>
    <t>NEPOOL_PRC_RPS_T2_RI</t>
  </si>
  <si>
    <t>NEPOOL_PRC_RPS_T1_ME</t>
  </si>
  <si>
    <t>NEPOOL_PRC_RPS_T2_ME</t>
  </si>
  <si>
    <t>NEPOOL_PRC_RPS_T3_ME</t>
  </si>
  <si>
    <t>NEPOOL_PRC_RPS_T4_ME</t>
  </si>
  <si>
    <t>Class IA</t>
  </si>
  <si>
    <t>Thermal</t>
  </si>
  <si>
    <t>ME</t>
  </si>
  <si>
    <t>NEPOOL_FAC_RPS_T1_ME</t>
  </si>
  <si>
    <t>NEPOOL_FAC_RPS_T2_ME</t>
  </si>
  <si>
    <t>NEPOOL_FAC_RPS_T3_ME</t>
  </si>
  <si>
    <t>NEPOOL_FAC_RPS_T4_ME</t>
  </si>
  <si>
    <t>NEPOOL_PRC_RPS_T1_NH</t>
  </si>
  <si>
    <t>NEPOOL_PRC_RPS_T5_NH</t>
  </si>
  <si>
    <t>NEPOOL_PRC_RPS_T2_NH</t>
  </si>
  <si>
    <t>NEPOOL_PRC_RPS_T3_NH</t>
  </si>
  <si>
    <t>NEPOOL_PRC_RPS_T4_NH</t>
  </si>
  <si>
    <t>NEPOOL_FAC_RPS_T1_NH</t>
  </si>
  <si>
    <t>NEPOOL_FAC_RPS_T2_NH</t>
  </si>
  <si>
    <t>NEPOOL_FAC_RPS_T3_NH</t>
  </si>
  <si>
    <t>NEPOOL_FAC_RPS_T4_NH</t>
  </si>
  <si>
    <t>NH</t>
  </si>
  <si>
    <t>Class I Thermal</t>
  </si>
  <si>
    <t>Class III</t>
  </si>
  <si>
    <t>Class IV</t>
  </si>
  <si>
    <t>NEPOOL_FAC_RPS_T5_NH</t>
  </si>
  <si>
    <t>NEPOOL_FAC_RPS_T1_MA</t>
  </si>
  <si>
    <t>NEPOOL_FAC_RPS_T2_MA</t>
  </si>
  <si>
    <t>NEPOOL_FAC_RPS_T3_MA</t>
  </si>
  <si>
    <t>NEPOOL_PRC_RPS_T1_MA</t>
  </si>
  <si>
    <t>NEPOOL_PRC_RPS_T2_MA</t>
  </si>
  <si>
    <t>NEPOOL_PRC_RPS_T3_MA</t>
  </si>
  <si>
    <t>NEPOOL_FAC_RPS_T4_MA</t>
  </si>
  <si>
    <t>NEPOOL_FAC_RPS_T5_MA</t>
  </si>
  <si>
    <t>NEPOOL_PRC_RPS_T4_MA</t>
  </si>
  <si>
    <t>NEPOOL_PRC_RPS_T5_MA</t>
  </si>
  <si>
    <t>NEPOOL_PRC_RPS_T6_MA</t>
  </si>
  <si>
    <t>NEPOOL_FAC_RPS_T6_MA</t>
  </si>
  <si>
    <t>MA</t>
  </si>
  <si>
    <t>Class II WTE</t>
  </si>
  <si>
    <t>APS</t>
  </si>
  <si>
    <t>SREC I</t>
  </si>
  <si>
    <t>SREC II</t>
  </si>
  <si>
    <t>CT_Class I</t>
  </si>
  <si>
    <t>CT_Class II</t>
  </si>
  <si>
    <t>CT_Class III</t>
  </si>
  <si>
    <t>RI_Class I</t>
  </si>
  <si>
    <t>RI_Class II</t>
  </si>
  <si>
    <t>ME_Class I</t>
  </si>
  <si>
    <t>ME_Class II</t>
  </si>
  <si>
    <t>ME_Class IA</t>
  </si>
  <si>
    <t>ME_Thermal</t>
  </si>
  <si>
    <t>NH_Class I</t>
  </si>
  <si>
    <t>NH_Class II</t>
  </si>
  <si>
    <t>NH_Class III</t>
  </si>
  <si>
    <t>NH_Class IV</t>
  </si>
  <si>
    <t>NH_Class I Thermal</t>
  </si>
  <si>
    <t>MA_Class I</t>
  </si>
  <si>
    <t>MA_Class II WTE</t>
  </si>
  <si>
    <t>MA_Class II</t>
  </si>
  <si>
    <t>MA_APS</t>
  </si>
  <si>
    <t>MA_SREC I</t>
  </si>
  <si>
    <t>MA_SREC II</t>
  </si>
  <si>
    <t>PJM_PRC_RPS_T4_MD</t>
  </si>
  <si>
    <t>MD</t>
  </si>
  <si>
    <t>MD_Geo</t>
  </si>
  <si>
    <t>Geo</t>
  </si>
  <si>
    <t>PJM_FAC_RPS_T4_MD</t>
  </si>
  <si>
    <t>STATE</t>
  </si>
  <si>
    <t>TIER</t>
  </si>
  <si>
    <t>MA_CPS</t>
  </si>
  <si>
    <t>MA_CES</t>
  </si>
  <si>
    <t>MA_CESE</t>
  </si>
  <si>
    <t>YEAR</t>
  </si>
  <si>
    <t>CY</t>
  </si>
  <si>
    <t>PY_CY</t>
  </si>
  <si>
    <t>GENERIC_GREEN_E</t>
  </si>
  <si>
    <t>NA_REC</t>
  </si>
  <si>
    <t>ERCOT_SOLAR_PRE</t>
  </si>
  <si>
    <t>ERCOT_WIND_CRE</t>
  </si>
  <si>
    <t>ERCOT_WIND_PRE</t>
  </si>
  <si>
    <t>Green-E</t>
  </si>
  <si>
    <t>NA REC</t>
  </si>
  <si>
    <t>ERCOT Solar PRE</t>
  </si>
  <si>
    <t>ERCOT Wind CRE</t>
  </si>
  <si>
    <t>ERCOT Wind PRE</t>
  </si>
  <si>
    <t>USA</t>
  </si>
  <si>
    <t>MARKET</t>
  </si>
  <si>
    <t>MAPPING</t>
  </si>
  <si>
    <t>CONTRACT</t>
  </si>
  <si>
    <t>ISO</t>
  </si>
  <si>
    <t>TYPE</t>
  </si>
  <si>
    <t>CRS</t>
  </si>
  <si>
    <t>SOURCE</t>
  </si>
  <si>
    <t>CCXTGB</t>
  </si>
  <si>
    <t>TX_WIND (CRS-LISTED) BH</t>
  </si>
  <si>
    <t>EXCHANGE</t>
  </si>
  <si>
    <t>ERCOT</t>
  </si>
  <si>
    <t>BH</t>
  </si>
  <si>
    <t>WIND</t>
  </si>
  <si>
    <t>CCXTGF</t>
  </si>
  <si>
    <t>TX_WIND (CRS-LISTED) FH</t>
  </si>
  <si>
    <t>FH</t>
  </si>
  <si>
    <t>CCXTSB</t>
  </si>
  <si>
    <t>TX_SOLAR (CRS-LISTED) BH</t>
  </si>
  <si>
    <t>SOLAR</t>
  </si>
  <si>
    <t>CCXTSF</t>
  </si>
  <si>
    <t>TX_SOLAR (CRS-LISTED) FH</t>
  </si>
  <si>
    <t>TXCP</t>
  </si>
  <si>
    <t>TX_CP PY</t>
  </si>
  <si>
    <t>OTC</t>
  </si>
  <si>
    <t>CP</t>
  </si>
  <si>
    <t>TXCPBH</t>
  </si>
  <si>
    <t>TX_CP BH</t>
  </si>
  <si>
    <t>TXCPFH</t>
  </si>
  <si>
    <t>TX_CP FH</t>
  </si>
  <si>
    <t>TXGEBH</t>
  </si>
  <si>
    <t>TXGEFH</t>
  </si>
  <si>
    <t>TXGSBH</t>
  </si>
  <si>
    <t>TXGSFH</t>
  </si>
  <si>
    <t>TXGSPY</t>
  </si>
  <si>
    <t>TX_SOLAR (CRS-LISTED) PY</t>
  </si>
  <si>
    <t>TXGWBH</t>
  </si>
  <si>
    <t>TXGWFH</t>
  </si>
  <si>
    <t>TXNSBH</t>
  </si>
  <si>
    <t>TX_SOLAR (NON-CRS) BH</t>
  </si>
  <si>
    <t>TXNSFH</t>
  </si>
  <si>
    <t>TX_SOLAR (NON-CRS) FH</t>
  </si>
  <si>
    <t>TXNSPY</t>
  </si>
  <si>
    <t>TX_SOLAR (NON-CRS) PY</t>
  </si>
  <si>
    <t>TXNWBH</t>
  </si>
  <si>
    <t>TX_WIND (NON-CRS) BH</t>
  </si>
  <si>
    <t>TXNWFH</t>
  </si>
  <si>
    <t>TX_WIND (NON-CRS) FH</t>
  </si>
  <si>
    <t>TXNWPY</t>
  </si>
  <si>
    <t>TX_WIND (NON-CRS) PY</t>
  </si>
  <si>
    <t>TXREC</t>
  </si>
  <si>
    <t>TX_REC (NON-CRS) PY</t>
  </si>
  <si>
    <t>TXRP</t>
  </si>
  <si>
    <t>TX_RPS REC (NON-CRS) PY</t>
  </si>
  <si>
    <t>TXRPBH</t>
  </si>
  <si>
    <t>TX_REC (NON-CRS) BH</t>
  </si>
  <si>
    <t>TXRPFH</t>
  </si>
  <si>
    <t>TX_REC (NON-CRS) FH</t>
  </si>
  <si>
    <t>TXRPPY</t>
  </si>
  <si>
    <t>TX-REC (NON-CRS) PY</t>
  </si>
  <si>
    <t>TXSABH</t>
  </si>
  <si>
    <t>TX_SOLAR (ASSET SPECIFIC) BH</t>
  </si>
  <si>
    <t>TXSAFH</t>
  </si>
  <si>
    <t>TX_SOLAR (ASSET SPECIFIC) FH</t>
  </si>
  <si>
    <t>TXSOBH</t>
  </si>
  <si>
    <t>TXSOFH</t>
  </si>
  <si>
    <t>TXWABH</t>
  </si>
  <si>
    <t>TX_WIND (ASSET SPECIFIC) BH</t>
  </si>
  <si>
    <t>TXWAFH</t>
  </si>
  <si>
    <t>TX_WIND (ASSET SPECIFIC) FH</t>
  </si>
  <si>
    <t>TXWIBH</t>
  </si>
  <si>
    <t>TXWIFH</t>
  </si>
  <si>
    <t>TXXXGR</t>
  </si>
  <si>
    <t>TX_REC (CRS-LISTED)</t>
  </si>
  <si>
    <t>CCXNAR</t>
  </si>
  <si>
    <t>US_WIND (CRS-LISTED) NAR PY</t>
  </si>
  <si>
    <t>CCXNBH</t>
  </si>
  <si>
    <t>US_WIND (CRS-LISTED) NAR BH</t>
  </si>
  <si>
    <t>CCXNFH</t>
  </si>
  <si>
    <t>US_WIND (CRS-LISTED) NAR FH</t>
  </si>
  <si>
    <t>USHREC</t>
  </si>
  <si>
    <t>US_HYDRO (NON-CRS)</t>
  </si>
  <si>
    <t>HYDRO</t>
  </si>
  <si>
    <t>USHYBH</t>
  </si>
  <si>
    <t>US_HYDRO (CRS-LISTED) BH</t>
  </si>
  <si>
    <t>USHYFH</t>
  </si>
  <si>
    <t>US_HYDRO (CRS-LISTED) FH</t>
  </si>
  <si>
    <t>USSOBH</t>
  </si>
  <si>
    <t>US_SOLAR (CRS-LISTED) BH</t>
  </si>
  <si>
    <t>USSOFH</t>
  </si>
  <si>
    <t>US_SOLAR (CRS-LISTED) FH</t>
  </si>
  <si>
    <t>USWIBH</t>
  </si>
  <si>
    <t>US_WIND (CRS-LISTED) BH</t>
  </si>
  <si>
    <t>USWIFH</t>
  </si>
  <si>
    <t>US_WIND (CRS-LISTED) FH</t>
  </si>
  <si>
    <t>USWIPY</t>
  </si>
  <si>
    <t>US_WIND (CRS-LISTED) PY</t>
  </si>
  <si>
    <t>USWREC</t>
  </si>
  <si>
    <t>US_WIND (NON-CRS) REC</t>
  </si>
  <si>
    <t>NAREC</t>
  </si>
  <si>
    <t>NORAM</t>
  </si>
  <si>
    <t>CCXCT1</t>
  </si>
  <si>
    <t>CT_CLASS I</t>
  </si>
  <si>
    <t>NEPOOL</t>
  </si>
  <si>
    <t>CCXCT2</t>
  </si>
  <si>
    <t>CT_CLASS II</t>
  </si>
  <si>
    <t>CCXCT3</t>
  </si>
  <si>
    <t>CT_CLASS III</t>
  </si>
  <si>
    <t>CTC1</t>
  </si>
  <si>
    <t>CTC2</t>
  </si>
  <si>
    <t>CTC3</t>
  </si>
  <si>
    <t>CCXMA1</t>
  </si>
  <si>
    <t>MA_CLASS I</t>
  </si>
  <si>
    <t>CCXMA2</t>
  </si>
  <si>
    <t>MA_CLASS II</t>
  </si>
  <si>
    <t>CCXMAA</t>
  </si>
  <si>
    <t>CCXMAS</t>
  </si>
  <si>
    <t>CCXMAW</t>
  </si>
  <si>
    <t>MA_CLASS II WTE</t>
  </si>
  <si>
    <t>CCXMCE</t>
  </si>
  <si>
    <t>CCXMS2</t>
  </si>
  <si>
    <t>MAAPS</t>
  </si>
  <si>
    <t>MACESE</t>
  </si>
  <si>
    <t>MARP</t>
  </si>
  <si>
    <t>MARPN</t>
  </si>
  <si>
    <t>MARPW</t>
  </si>
  <si>
    <t>MASO</t>
  </si>
  <si>
    <t>MASO2</t>
  </si>
  <si>
    <t>CCXME1</t>
  </si>
  <si>
    <t>ME_CLASS I</t>
  </si>
  <si>
    <t>CCXME2</t>
  </si>
  <si>
    <t>ME_CLASS II</t>
  </si>
  <si>
    <t>ME1A</t>
  </si>
  <si>
    <t>ME_CLASS IA</t>
  </si>
  <si>
    <t>MENWRP</t>
  </si>
  <si>
    <t>MERP</t>
  </si>
  <si>
    <t>CCXNEP</t>
  </si>
  <si>
    <t>NE_DUAL</t>
  </si>
  <si>
    <t>CCXNEQ</t>
  </si>
  <si>
    <t>NE_QUAD</t>
  </si>
  <si>
    <t>NEDUAL</t>
  </si>
  <si>
    <t>NEPTRI</t>
  </si>
  <si>
    <t>NE_TRI</t>
  </si>
  <si>
    <t>NEQUAD</t>
  </si>
  <si>
    <t>CCXNH1</t>
  </si>
  <si>
    <t>NH_CLASS I</t>
  </si>
  <si>
    <t>CCXNH3</t>
  </si>
  <si>
    <t>NH_CLASS III</t>
  </si>
  <si>
    <t>NHC1</t>
  </si>
  <si>
    <t>NHC1T</t>
  </si>
  <si>
    <t>NH_CLASS I THERMAL</t>
  </si>
  <si>
    <t>NHC2</t>
  </si>
  <si>
    <t>NH_CLASS II</t>
  </si>
  <si>
    <t>NHC3</t>
  </si>
  <si>
    <t>NHC4</t>
  </si>
  <si>
    <t>NH_CLASS IV</t>
  </si>
  <si>
    <t>CCXRIN</t>
  </si>
  <si>
    <t>RI_CLASS I</t>
  </si>
  <si>
    <t>RIEX</t>
  </si>
  <si>
    <t>RI_CLASS II</t>
  </si>
  <si>
    <t>RINEW</t>
  </si>
  <si>
    <t>CCXNY1</t>
  </si>
  <si>
    <t>NY_TIER I</t>
  </si>
  <si>
    <t>NYISO</t>
  </si>
  <si>
    <t>NYEDP</t>
  </si>
  <si>
    <t>NYT1</t>
  </si>
  <si>
    <t>CCXDC1</t>
  </si>
  <si>
    <t>DC_TIER I</t>
  </si>
  <si>
    <t>DC</t>
  </si>
  <si>
    <t>PJM</t>
  </si>
  <si>
    <t>CCXDCS</t>
  </si>
  <si>
    <t>DC_SOLAR</t>
  </si>
  <si>
    <t>CCXMD1</t>
  </si>
  <si>
    <t>MD_TIER I</t>
  </si>
  <si>
    <t>CCXMD2</t>
  </si>
  <si>
    <t>MD_TIER II</t>
  </si>
  <si>
    <t>CCXMDS</t>
  </si>
  <si>
    <t>MD_SOLAR</t>
  </si>
  <si>
    <t>CCXNJ1</t>
  </si>
  <si>
    <t>NJ_CLASS I</t>
  </si>
  <si>
    <t>NJ</t>
  </si>
  <si>
    <t>RY</t>
  </si>
  <si>
    <t>CCXNJ2</t>
  </si>
  <si>
    <t>NJ_CLASS II</t>
  </si>
  <si>
    <t>CCXNJS</t>
  </si>
  <si>
    <t>NJ_SOLAR</t>
  </si>
  <si>
    <t>CCXOHN</t>
  </si>
  <si>
    <t>OH_RENEWABLE (NON-SOLAR)</t>
  </si>
  <si>
    <t>OH</t>
  </si>
  <si>
    <t>CCXOHS</t>
  </si>
  <si>
    <t>OH_RENEWABLE (SOLAR)</t>
  </si>
  <si>
    <t>OHREC</t>
  </si>
  <si>
    <t>OH_RENEWABLE</t>
  </si>
  <si>
    <t>CCXPA1</t>
  </si>
  <si>
    <t>PA_TIER I</t>
  </si>
  <si>
    <t>PA</t>
  </si>
  <si>
    <t>CCXPA2</t>
  </si>
  <si>
    <t>PA_TIER II</t>
  </si>
  <si>
    <t>CCXPAS</t>
  </si>
  <si>
    <t>PA_SOLAR</t>
  </si>
  <si>
    <t>CCXPJM</t>
  </si>
  <si>
    <t>PJM_TRI</t>
  </si>
  <si>
    <t>DCT2</t>
  </si>
  <si>
    <t>DC_TIER II</t>
  </si>
  <si>
    <t>EFECPA</t>
  </si>
  <si>
    <t>MDC2</t>
  </si>
  <si>
    <t>PJMTRI</t>
  </si>
  <si>
    <t>VAREC</t>
  </si>
  <si>
    <t>VA_RPS REC</t>
  </si>
  <si>
    <t>VA</t>
  </si>
  <si>
    <t>TXGWPY</t>
  </si>
  <si>
    <t>TX_WIND (CRS-LISTED) PY</t>
  </si>
  <si>
    <t>HPBW</t>
  </si>
  <si>
    <t>HPDS</t>
  </si>
  <si>
    <t>HPLO</t>
  </si>
  <si>
    <t>HPPD</t>
  </si>
  <si>
    <t>HPTN</t>
  </si>
  <si>
    <t>HPIS</t>
  </si>
  <si>
    <t>HPSV</t>
  </si>
  <si>
    <t>HSPL</t>
  </si>
  <si>
    <t>HPLK</t>
  </si>
  <si>
    <t>BRAZORIA WEST</t>
  </si>
  <si>
    <t>DILEO SOLAR</t>
  </si>
  <si>
    <t>LONGBOW SOLAR</t>
  </si>
  <si>
    <t>PITTS DUDIK</t>
  </si>
  <si>
    <t>TYSON NICK</t>
  </si>
  <si>
    <t>IMPACT SOLAR</t>
  </si>
  <si>
    <t>SUN VALLEY</t>
  </si>
  <si>
    <t>AVIATOR WIND</t>
  </si>
  <si>
    <t>SOUTH PLAINS</t>
  </si>
  <si>
    <t>LIVE OAK</t>
  </si>
  <si>
    <t>BOOK</t>
  </si>
  <si>
    <t>ASSET</t>
  </si>
  <si>
    <t>BOOK_ASSET</t>
  </si>
  <si>
    <t>XREF</t>
  </si>
  <si>
    <t>HMR2072</t>
  </si>
  <si>
    <t>A64473</t>
  </si>
  <si>
    <t>A64347</t>
  </si>
  <si>
    <t>A64397</t>
  </si>
  <si>
    <t>HMR1108</t>
  </si>
  <si>
    <t>A64769</t>
  </si>
  <si>
    <t>A64768</t>
  </si>
  <si>
    <t>LONGBOW</t>
  </si>
  <si>
    <t>A64461</t>
  </si>
  <si>
    <t>HMR1142</t>
  </si>
  <si>
    <t>A64351</t>
  </si>
  <si>
    <t>A64407</t>
  </si>
  <si>
    <t>A64856</t>
  </si>
  <si>
    <t>A64749</t>
  </si>
  <si>
    <t>A64688</t>
  </si>
  <si>
    <t>A64687</t>
  </si>
  <si>
    <t>A64720</t>
  </si>
  <si>
    <t>A64907</t>
  </si>
  <si>
    <t>NATIONAL</t>
  </si>
  <si>
    <t>NORTH AMERICA</t>
  </si>
  <si>
    <t>-</t>
  </si>
  <si>
    <t>TXSRCB</t>
  </si>
  <si>
    <t>TXSRCF</t>
  </si>
  <si>
    <t>BROOKFIELD_VOLUNTARY</t>
  </si>
  <si>
    <t>US</t>
  </si>
  <si>
    <t>HPSB</t>
  </si>
  <si>
    <t>SOFTBANK</t>
  </si>
  <si>
    <t>FORMULA</t>
  </si>
  <si>
    <t>MARK</t>
  </si>
  <si>
    <t>CCXNSF</t>
  </si>
  <si>
    <t>US_SOLAR (CRS-LISTED) NAR FH</t>
  </si>
  <si>
    <t>USWSBH</t>
  </si>
  <si>
    <t>USWSFH</t>
  </si>
  <si>
    <t>WIND/SOLAR</t>
  </si>
  <si>
    <t>US_WIND OR SOLAR (CRS-LISTED) BH</t>
  </si>
  <si>
    <t>US_WIND OR SOLAR (CRS-LISTED) FH</t>
  </si>
  <si>
    <t>CCXNSB</t>
  </si>
  <si>
    <t>US_SOLAR (CRS-LISTED) NAR BH</t>
  </si>
  <si>
    <t>ICE</t>
  </si>
  <si>
    <t>NODAL</t>
  </si>
  <si>
    <t>LOT SIZE</t>
  </si>
  <si>
    <t>SCREEN</t>
  </si>
  <si>
    <t>BLOCK</t>
  </si>
  <si>
    <t>SETTLEMENT</t>
  </si>
  <si>
    <t>MACPS</t>
  </si>
  <si>
    <t>MACES</t>
  </si>
  <si>
    <t>NEPOOL_PRC_RPS_T5_ME</t>
  </si>
  <si>
    <t>ME_Class III</t>
  </si>
  <si>
    <t>NEPOOL_FAC_RPS_T5_ME</t>
  </si>
  <si>
    <t>OHIONO</t>
  </si>
  <si>
    <t>OHIOS</t>
  </si>
  <si>
    <t>N/A</t>
  </si>
  <si>
    <t>TRADER MARKS</t>
  </si>
  <si>
    <t>CLASSIC FORMULA</t>
  </si>
  <si>
    <t>USTXWS</t>
  </si>
  <si>
    <t>US_WIND OR SOLAR (CRS-LISTED) CY</t>
  </si>
  <si>
    <t>NEQUIN</t>
  </si>
  <si>
    <t>NE_QUINT</t>
  </si>
  <si>
    <t>OHRECM</t>
  </si>
  <si>
    <t>OH_RENEWABLE (GATS)</t>
  </si>
  <si>
    <t>OH_RENEWABLE (MRETS)</t>
  </si>
  <si>
    <t>Geothermal</t>
  </si>
  <si>
    <t>MIWIFH</t>
  </si>
  <si>
    <t>MIWIBH</t>
  </si>
  <si>
    <t>MISO</t>
  </si>
  <si>
    <t>MISO_WIND (CRS-LISTED) FH</t>
  </si>
  <si>
    <t>MISO_WIND (CRS-LISTED) BH</t>
  </si>
  <si>
    <t>SPWIBH</t>
  </si>
  <si>
    <t>SPWIFH</t>
  </si>
  <si>
    <t>SPP_WIND (CRS-LISTED) BH</t>
  </si>
  <si>
    <t>SPP_WIND (CRS-LISTED) FH</t>
  </si>
  <si>
    <t>SPP</t>
  </si>
  <si>
    <t>ERCOT_PRC_GREENE_USA</t>
  </si>
  <si>
    <t>HPLU</t>
  </si>
  <si>
    <t>LUBIO SOLAR</t>
  </si>
  <si>
    <t>USGESO</t>
  </si>
  <si>
    <t>US_SOLAR (GREEN-E) RY</t>
  </si>
  <si>
    <t>NEPOOL_PRC_CES_MA</t>
  </si>
  <si>
    <t>NEPOOL_PRC_VAR_NEMA</t>
  </si>
  <si>
    <t>NEPOOL_PRC_CPS_MA</t>
  </si>
  <si>
    <t>$/MWH</t>
  </si>
  <si>
    <t>CPS</t>
  </si>
  <si>
    <t>PRICE</t>
  </si>
  <si>
    <t>CES&amp;CESE</t>
  </si>
  <si>
    <t>MA_CES&amp;CESE</t>
  </si>
  <si>
    <t>TXGEFH/TXGEBH</t>
  </si>
  <si>
    <t>TXGSFH/TXGSBH</t>
  </si>
  <si>
    <t>TXCPFH/TXCPBH</t>
  </si>
  <si>
    <t>USWIFH/USWIBH</t>
  </si>
  <si>
    <t>USSOFH/USSOBH</t>
  </si>
  <si>
    <t>MIWIFH/MIWIBH</t>
  </si>
  <si>
    <t>SPWIFH/SPWIBH</t>
  </si>
  <si>
    <t/>
  </si>
  <si>
    <t>MAPPING_CURVE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</si>
</sst>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0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5" fillId="0" borderId="0" xfId="0" applyFont="1"/>
    <xf numFmtId="0" fontId="2" fillId="2" borderId="6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5" fillId="0" borderId="2" xfId="0" applyFont="1" applyBorder="1"/>
    <xf numFmtId="0" fontId="0" fillId="0" borderId="2" xfId="0" applyBorder="1"/>
    <xf numFmtId="8" fontId="0" fillId="0" borderId="2" xfId="0" applyNumberFormat="1" applyBorder="1"/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7" fillId="3" borderId="4" xfId="0" applyFont="1" applyFill="1" applyBorder="1"/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5" fillId="4" borderId="4" xfId="0" applyFont="1" applyFill="1" applyBorder="1"/>
    <xf numFmtId="0" fontId="5" fillId="4" borderId="5" xfId="0" applyFont="1" applyFill="1" applyBorder="1"/>
    <xf numFmtId="0" fontId="5" fillId="4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FD93-1D25-48C3-994D-611C8D07EACB}">
  <dimension ref="A1:I140"/>
  <sheetViews>
    <sheetView tabSelected="1" workbookViewId="0">
      <selection activeCell="I2" sqref="I2"/>
    </sheetView>
  </sheetViews>
  <sheetFormatPr defaultRowHeight="15" x14ac:dyDescent="0.25"/>
  <cols>
    <col min="1" max="1" width="10.5703125" bestFit="1" customWidth="1"/>
    <col min="2" max="2" width="35.7109375" bestFit="1" customWidth="1"/>
    <col min="3" max="3" width="11.28515625" bestFit="1" customWidth="1"/>
    <col min="4" max="4" width="10.140625" bestFit="1" customWidth="1"/>
    <col min="5" max="5" width="16.42578125" bestFit="1" customWidth="1"/>
    <col min="6" max="6" width="5.42578125" bestFit="1" customWidth="1"/>
    <col min="7" max="7" width="4.85546875" bestFit="1" customWidth="1"/>
    <col min="8" max="8" width="13.140625" bestFit="1" customWidth="1"/>
    <col min="9" max="9" width="16.140625" bestFit="1" customWidth="1"/>
  </cols>
  <sheetData>
    <row r="1" spans="1:9" x14ac:dyDescent="0.25">
      <c r="A1" s="17" t="s">
        <v>191</v>
      </c>
      <c r="B1" s="18" t="s">
        <v>192</v>
      </c>
      <c r="C1" s="18" t="s">
        <v>193</v>
      </c>
      <c r="D1" s="18" t="s">
        <v>172</v>
      </c>
      <c r="E1" s="18" t="s">
        <v>194</v>
      </c>
      <c r="F1" s="18" t="s">
        <v>195</v>
      </c>
      <c r="G1" s="18" t="s">
        <v>196</v>
      </c>
      <c r="H1" s="18" t="s">
        <v>197</v>
      </c>
      <c r="I1" s="27" t="s">
        <v>518</v>
      </c>
    </row>
    <row r="2" spans="1:9" x14ac:dyDescent="0.25">
      <c r="A2" s="14" t="s">
        <v>198</v>
      </c>
      <c r="B2" s="15" t="s">
        <v>199</v>
      </c>
      <c r="C2" s="15" t="s">
        <v>200</v>
      </c>
      <c r="D2" s="15" t="s">
        <v>84</v>
      </c>
      <c r="E2" s="15" t="s">
        <v>201</v>
      </c>
      <c r="F2" s="15" t="s">
        <v>202</v>
      </c>
      <c r="G2" s="16" t="s">
        <v>196</v>
      </c>
      <c r="H2" s="16" t="s">
        <v>203</v>
      </c>
      <c r="I2" t="s">
        <v>510</v>
      </c>
    </row>
    <row r="3" spans="1:9" x14ac:dyDescent="0.25">
      <c r="A3" s="14" t="s">
        <v>204</v>
      </c>
      <c r="B3" s="15" t="s">
        <v>205</v>
      </c>
      <c r="C3" s="15" t="s">
        <v>200</v>
      </c>
      <c r="D3" s="15" t="s">
        <v>84</v>
      </c>
      <c r="E3" s="15" t="s">
        <v>201</v>
      </c>
      <c r="F3" s="15" t="s">
        <v>206</v>
      </c>
      <c r="G3" s="16" t="s">
        <v>196</v>
      </c>
      <c r="H3" s="16" t="s">
        <v>203</v>
      </c>
      <c r="I3" t="s">
        <v>510</v>
      </c>
    </row>
    <row r="4" spans="1:9" x14ac:dyDescent="0.25">
      <c r="A4" s="14" t="s">
        <v>207</v>
      </c>
      <c r="B4" s="15" t="s">
        <v>208</v>
      </c>
      <c r="C4" s="15" t="s">
        <v>200</v>
      </c>
      <c r="D4" s="15" t="s">
        <v>84</v>
      </c>
      <c r="E4" s="15" t="s">
        <v>201</v>
      </c>
      <c r="F4" s="15" t="s">
        <v>202</v>
      </c>
      <c r="G4" s="16" t="s">
        <v>196</v>
      </c>
      <c r="H4" s="16" t="s">
        <v>209</v>
      </c>
      <c r="I4" t="s">
        <v>511</v>
      </c>
    </row>
    <row r="5" spans="1:9" x14ac:dyDescent="0.25">
      <c r="A5" s="14" t="s">
        <v>210</v>
      </c>
      <c r="B5" s="15" t="s">
        <v>211</v>
      </c>
      <c r="C5" s="15" t="s">
        <v>200</v>
      </c>
      <c r="D5" s="15" t="s">
        <v>84</v>
      </c>
      <c r="E5" s="15" t="s">
        <v>201</v>
      </c>
      <c r="F5" s="15" t="s">
        <v>206</v>
      </c>
      <c r="G5" s="16" t="s">
        <v>196</v>
      </c>
      <c r="H5" s="16" t="s">
        <v>209</v>
      </c>
      <c r="I5" t="s">
        <v>511</v>
      </c>
    </row>
    <row r="6" spans="1:9" x14ac:dyDescent="0.25">
      <c r="A6" s="14" t="s">
        <v>212</v>
      </c>
      <c r="B6" s="15" t="s">
        <v>213</v>
      </c>
      <c r="C6" s="15" t="s">
        <v>214</v>
      </c>
      <c r="D6" s="15" t="s">
        <v>84</v>
      </c>
      <c r="E6" s="15" t="s">
        <v>201</v>
      </c>
      <c r="F6" s="15" t="s">
        <v>178</v>
      </c>
      <c r="G6" s="16" t="s">
        <v>445</v>
      </c>
      <c r="H6" s="16" t="s">
        <v>215</v>
      </c>
      <c r="I6" t="s">
        <v>517</v>
      </c>
    </row>
    <row r="7" spans="1:9" x14ac:dyDescent="0.25">
      <c r="A7" s="14" t="s">
        <v>216</v>
      </c>
      <c r="B7" s="15" t="s">
        <v>217</v>
      </c>
      <c r="C7" s="15" t="s">
        <v>214</v>
      </c>
      <c r="D7" s="15" t="s">
        <v>84</v>
      </c>
      <c r="E7" s="15" t="s">
        <v>201</v>
      </c>
      <c r="F7" s="15" t="s">
        <v>202</v>
      </c>
      <c r="G7" s="16" t="s">
        <v>445</v>
      </c>
      <c r="H7" s="16" t="s">
        <v>215</v>
      </c>
      <c r="I7" t="s">
        <v>517</v>
      </c>
    </row>
    <row r="8" spans="1:9" x14ac:dyDescent="0.25">
      <c r="A8" s="14" t="s">
        <v>218</v>
      </c>
      <c r="B8" s="15" t="s">
        <v>219</v>
      </c>
      <c r="C8" s="15" t="s">
        <v>214</v>
      </c>
      <c r="D8" s="15" t="s">
        <v>84</v>
      </c>
      <c r="E8" s="15" t="s">
        <v>201</v>
      </c>
      <c r="F8" s="15" t="s">
        <v>206</v>
      </c>
      <c r="G8" s="16" t="s">
        <v>445</v>
      </c>
      <c r="H8" s="16" t="s">
        <v>215</v>
      </c>
      <c r="I8" t="s">
        <v>517</v>
      </c>
    </row>
    <row r="9" spans="1:9" x14ac:dyDescent="0.25">
      <c r="A9" s="14" t="s">
        <v>220</v>
      </c>
      <c r="B9" s="15" t="s">
        <v>199</v>
      </c>
      <c r="C9" s="15" t="s">
        <v>214</v>
      </c>
      <c r="D9" s="15" t="s">
        <v>84</v>
      </c>
      <c r="E9" s="15" t="s">
        <v>201</v>
      </c>
      <c r="F9" s="15" t="s">
        <v>202</v>
      </c>
      <c r="G9" s="16" t="s">
        <v>196</v>
      </c>
      <c r="H9" s="16" t="s">
        <v>203</v>
      </c>
      <c r="I9" t="s">
        <v>510</v>
      </c>
    </row>
    <row r="10" spans="1:9" x14ac:dyDescent="0.25">
      <c r="A10" s="14" t="s">
        <v>221</v>
      </c>
      <c r="B10" s="15" t="s">
        <v>205</v>
      </c>
      <c r="C10" s="15" t="s">
        <v>214</v>
      </c>
      <c r="D10" s="15" t="s">
        <v>84</v>
      </c>
      <c r="E10" s="15" t="s">
        <v>201</v>
      </c>
      <c r="F10" s="15" t="s">
        <v>206</v>
      </c>
      <c r="G10" s="16" t="s">
        <v>196</v>
      </c>
      <c r="H10" s="16" t="s">
        <v>203</v>
      </c>
      <c r="I10" t="s">
        <v>510</v>
      </c>
    </row>
    <row r="11" spans="1:9" x14ac:dyDescent="0.25">
      <c r="A11" s="14" t="s">
        <v>222</v>
      </c>
      <c r="B11" s="15" t="s">
        <v>208</v>
      </c>
      <c r="C11" s="15" t="s">
        <v>214</v>
      </c>
      <c r="D11" s="15" t="s">
        <v>84</v>
      </c>
      <c r="E11" s="15" t="s">
        <v>201</v>
      </c>
      <c r="F11" s="15" t="s">
        <v>202</v>
      </c>
      <c r="G11" s="16" t="s">
        <v>196</v>
      </c>
      <c r="H11" s="16" t="s">
        <v>209</v>
      </c>
      <c r="I11" t="s">
        <v>511</v>
      </c>
    </row>
    <row r="12" spans="1:9" x14ac:dyDescent="0.25">
      <c r="A12" s="14" t="s">
        <v>223</v>
      </c>
      <c r="B12" s="15" t="s">
        <v>211</v>
      </c>
      <c r="C12" s="15" t="s">
        <v>214</v>
      </c>
      <c r="D12" s="15" t="s">
        <v>84</v>
      </c>
      <c r="E12" s="15" t="s">
        <v>201</v>
      </c>
      <c r="F12" s="15" t="s">
        <v>206</v>
      </c>
      <c r="G12" s="16" t="s">
        <v>196</v>
      </c>
      <c r="H12" s="16" t="s">
        <v>209</v>
      </c>
      <c r="I12" t="s">
        <v>511</v>
      </c>
    </row>
    <row r="13" spans="1:9" x14ac:dyDescent="0.25">
      <c r="A13" s="14" t="s">
        <v>224</v>
      </c>
      <c r="B13" s="15" t="s">
        <v>225</v>
      </c>
      <c r="C13" s="15" t="s">
        <v>214</v>
      </c>
      <c r="D13" s="15" t="s">
        <v>84</v>
      </c>
      <c r="E13" s="15" t="s">
        <v>201</v>
      </c>
      <c r="F13" s="15" t="s">
        <v>178</v>
      </c>
      <c r="G13" s="16" t="s">
        <v>196</v>
      </c>
      <c r="H13" s="16" t="s">
        <v>209</v>
      </c>
      <c r="I13" t="s">
        <v>511</v>
      </c>
    </row>
    <row r="14" spans="1:9" x14ac:dyDescent="0.25">
      <c r="A14" s="14" t="s">
        <v>226</v>
      </c>
      <c r="B14" s="15" t="s">
        <v>199</v>
      </c>
      <c r="C14" s="15" t="s">
        <v>214</v>
      </c>
      <c r="D14" s="15" t="s">
        <v>84</v>
      </c>
      <c r="E14" s="15" t="s">
        <v>201</v>
      </c>
      <c r="F14" s="15" t="s">
        <v>202</v>
      </c>
      <c r="G14" s="16" t="s">
        <v>196</v>
      </c>
      <c r="H14" s="16" t="s">
        <v>203</v>
      </c>
      <c r="I14" t="s">
        <v>510</v>
      </c>
    </row>
    <row r="15" spans="1:9" x14ac:dyDescent="0.25">
      <c r="A15" s="14" t="s">
        <v>227</v>
      </c>
      <c r="B15" s="15" t="s">
        <v>205</v>
      </c>
      <c r="C15" s="15" t="s">
        <v>214</v>
      </c>
      <c r="D15" s="15" t="s">
        <v>84</v>
      </c>
      <c r="E15" s="15" t="s">
        <v>201</v>
      </c>
      <c r="F15" s="15" t="s">
        <v>206</v>
      </c>
      <c r="G15" s="16" t="s">
        <v>196</v>
      </c>
      <c r="H15" s="16" t="s">
        <v>203</v>
      </c>
      <c r="I15" t="s">
        <v>510</v>
      </c>
    </row>
    <row r="16" spans="1:9" x14ac:dyDescent="0.25">
      <c r="A16" s="14" t="s">
        <v>228</v>
      </c>
      <c r="B16" s="15" t="s">
        <v>229</v>
      </c>
      <c r="C16" s="15" t="s">
        <v>214</v>
      </c>
      <c r="D16" s="15" t="s">
        <v>84</v>
      </c>
      <c r="E16" s="15" t="s">
        <v>201</v>
      </c>
      <c r="F16" s="15" t="s">
        <v>202</v>
      </c>
      <c r="G16" s="16" t="s">
        <v>445</v>
      </c>
      <c r="H16" s="16" t="s">
        <v>209</v>
      </c>
      <c r="I16" t="s">
        <v>511</v>
      </c>
    </row>
    <row r="17" spans="1:9" x14ac:dyDescent="0.25">
      <c r="A17" s="14" t="s">
        <v>230</v>
      </c>
      <c r="B17" s="15" t="s">
        <v>231</v>
      </c>
      <c r="C17" s="15" t="s">
        <v>214</v>
      </c>
      <c r="D17" s="15" t="s">
        <v>84</v>
      </c>
      <c r="E17" s="15" t="s">
        <v>201</v>
      </c>
      <c r="F17" s="15" t="s">
        <v>206</v>
      </c>
      <c r="G17" s="16" t="s">
        <v>445</v>
      </c>
      <c r="H17" s="16" t="s">
        <v>209</v>
      </c>
      <c r="I17" t="s">
        <v>511</v>
      </c>
    </row>
    <row r="18" spans="1:9" x14ac:dyDescent="0.25">
      <c r="A18" s="14" t="s">
        <v>232</v>
      </c>
      <c r="B18" s="15" t="s">
        <v>233</v>
      </c>
      <c r="C18" s="15" t="s">
        <v>214</v>
      </c>
      <c r="D18" s="15" t="s">
        <v>84</v>
      </c>
      <c r="E18" s="15" t="s">
        <v>201</v>
      </c>
      <c r="F18" s="15" t="s">
        <v>178</v>
      </c>
      <c r="G18" s="16" t="s">
        <v>445</v>
      </c>
      <c r="H18" s="16" t="s">
        <v>209</v>
      </c>
      <c r="I18" t="s">
        <v>511</v>
      </c>
    </row>
    <row r="19" spans="1:9" x14ac:dyDescent="0.25">
      <c r="A19" s="14" t="s">
        <v>234</v>
      </c>
      <c r="B19" s="15" t="s">
        <v>235</v>
      </c>
      <c r="C19" s="15" t="s">
        <v>214</v>
      </c>
      <c r="D19" s="15" t="s">
        <v>84</v>
      </c>
      <c r="E19" s="15" t="s">
        <v>201</v>
      </c>
      <c r="F19" s="15" t="s">
        <v>202</v>
      </c>
      <c r="G19" s="16" t="s">
        <v>445</v>
      </c>
      <c r="H19" s="16" t="s">
        <v>203</v>
      </c>
      <c r="I19" t="s">
        <v>510</v>
      </c>
    </row>
    <row r="20" spans="1:9" x14ac:dyDescent="0.25">
      <c r="A20" s="14" t="s">
        <v>236</v>
      </c>
      <c r="B20" s="15" t="s">
        <v>237</v>
      </c>
      <c r="C20" s="15" t="s">
        <v>214</v>
      </c>
      <c r="D20" s="15" t="s">
        <v>84</v>
      </c>
      <c r="E20" s="15" t="s">
        <v>201</v>
      </c>
      <c r="F20" s="15" t="s">
        <v>206</v>
      </c>
      <c r="G20" s="16" t="s">
        <v>445</v>
      </c>
      <c r="H20" s="16" t="s">
        <v>203</v>
      </c>
      <c r="I20" t="s">
        <v>510</v>
      </c>
    </row>
    <row r="21" spans="1:9" x14ac:dyDescent="0.25">
      <c r="A21" s="14" t="s">
        <v>238</v>
      </c>
      <c r="B21" s="15" t="s">
        <v>239</v>
      </c>
      <c r="C21" s="15" t="s">
        <v>214</v>
      </c>
      <c r="D21" s="15" t="s">
        <v>84</v>
      </c>
      <c r="E21" s="15" t="s">
        <v>201</v>
      </c>
      <c r="F21" s="15" t="s">
        <v>178</v>
      </c>
      <c r="G21" s="16" t="s">
        <v>445</v>
      </c>
      <c r="H21" s="16" t="s">
        <v>203</v>
      </c>
      <c r="I21" t="s">
        <v>510</v>
      </c>
    </row>
    <row r="22" spans="1:9" x14ac:dyDescent="0.25">
      <c r="A22" s="14" t="s">
        <v>240</v>
      </c>
      <c r="B22" s="15" t="s">
        <v>241</v>
      </c>
      <c r="C22" s="15" t="s">
        <v>214</v>
      </c>
      <c r="D22" s="15" t="s">
        <v>84</v>
      </c>
      <c r="E22" s="15" t="s">
        <v>201</v>
      </c>
      <c r="F22" s="15" t="s">
        <v>178</v>
      </c>
      <c r="G22" s="16" t="s">
        <v>445</v>
      </c>
      <c r="H22" s="16" t="s">
        <v>445</v>
      </c>
      <c r="I22" t="s">
        <v>517</v>
      </c>
    </row>
    <row r="23" spans="1:9" x14ac:dyDescent="0.25">
      <c r="A23" s="14" t="s">
        <v>242</v>
      </c>
      <c r="B23" s="15" t="s">
        <v>243</v>
      </c>
      <c r="C23" s="15" t="s">
        <v>214</v>
      </c>
      <c r="D23" s="15" t="s">
        <v>84</v>
      </c>
      <c r="E23" s="15" t="s">
        <v>201</v>
      </c>
      <c r="F23" s="15" t="s">
        <v>178</v>
      </c>
      <c r="G23" s="16" t="s">
        <v>445</v>
      </c>
      <c r="H23" s="16" t="s">
        <v>445</v>
      </c>
      <c r="I23" t="s">
        <v>512</v>
      </c>
    </row>
    <row r="24" spans="1:9" x14ac:dyDescent="0.25">
      <c r="A24" s="14" t="s">
        <v>400</v>
      </c>
      <c r="B24" s="15" t="s">
        <v>401</v>
      </c>
      <c r="C24" s="15" t="s">
        <v>214</v>
      </c>
      <c r="D24" s="15" t="s">
        <v>84</v>
      </c>
      <c r="E24" s="15" t="s">
        <v>201</v>
      </c>
      <c r="F24" s="15" t="s">
        <v>178</v>
      </c>
      <c r="G24" s="16" t="s">
        <v>196</v>
      </c>
      <c r="H24" s="16" t="s">
        <v>203</v>
      </c>
      <c r="I24" t="s">
        <v>510</v>
      </c>
    </row>
    <row r="25" spans="1:9" x14ac:dyDescent="0.25">
      <c r="A25" s="14" t="s">
        <v>244</v>
      </c>
      <c r="B25" s="15" t="s">
        <v>245</v>
      </c>
      <c r="C25" s="15" t="s">
        <v>214</v>
      </c>
      <c r="D25" s="15" t="s">
        <v>84</v>
      </c>
      <c r="E25" s="15" t="s">
        <v>201</v>
      </c>
      <c r="F25" s="15" t="s">
        <v>202</v>
      </c>
      <c r="G25" s="16" t="s">
        <v>445</v>
      </c>
      <c r="H25" s="16" t="s">
        <v>445</v>
      </c>
      <c r="I25" t="s">
        <v>517</v>
      </c>
    </row>
    <row r="26" spans="1:9" x14ac:dyDescent="0.25">
      <c r="A26" s="14" t="s">
        <v>246</v>
      </c>
      <c r="B26" s="15" t="s">
        <v>247</v>
      </c>
      <c r="C26" s="15" t="s">
        <v>214</v>
      </c>
      <c r="D26" s="15" t="s">
        <v>84</v>
      </c>
      <c r="E26" s="15" t="s">
        <v>201</v>
      </c>
      <c r="F26" s="15" t="s">
        <v>206</v>
      </c>
      <c r="G26" s="16" t="s">
        <v>445</v>
      </c>
      <c r="H26" s="16" t="s">
        <v>445</v>
      </c>
      <c r="I26" t="s">
        <v>517</v>
      </c>
    </row>
    <row r="27" spans="1:9" x14ac:dyDescent="0.25">
      <c r="A27" s="14" t="s">
        <v>248</v>
      </c>
      <c r="B27" s="15" t="s">
        <v>249</v>
      </c>
      <c r="C27" s="15" t="s">
        <v>214</v>
      </c>
      <c r="D27" s="15" t="s">
        <v>84</v>
      </c>
      <c r="E27" s="15" t="s">
        <v>201</v>
      </c>
      <c r="F27" s="15" t="s">
        <v>178</v>
      </c>
      <c r="G27" s="16" t="s">
        <v>445</v>
      </c>
      <c r="H27" s="16" t="s">
        <v>445</v>
      </c>
      <c r="I27" t="s">
        <v>517</v>
      </c>
    </row>
    <row r="28" spans="1:9" x14ac:dyDescent="0.25">
      <c r="A28" s="14" t="s">
        <v>250</v>
      </c>
      <c r="B28" s="15" t="s">
        <v>251</v>
      </c>
      <c r="C28" s="15" t="s">
        <v>214</v>
      </c>
      <c r="D28" s="15" t="s">
        <v>84</v>
      </c>
      <c r="E28" s="15" t="s">
        <v>201</v>
      </c>
      <c r="F28" s="15" t="s">
        <v>202</v>
      </c>
      <c r="G28" s="16" t="s">
        <v>445</v>
      </c>
      <c r="H28" s="16" t="s">
        <v>209</v>
      </c>
      <c r="I28" t="s">
        <v>511</v>
      </c>
    </row>
    <row r="29" spans="1:9" x14ac:dyDescent="0.25">
      <c r="A29" s="14" t="s">
        <v>252</v>
      </c>
      <c r="B29" s="15" t="s">
        <v>253</v>
      </c>
      <c r="C29" s="15" t="s">
        <v>214</v>
      </c>
      <c r="D29" s="15" t="s">
        <v>84</v>
      </c>
      <c r="E29" s="15" t="s">
        <v>201</v>
      </c>
      <c r="F29" s="15" t="s">
        <v>206</v>
      </c>
      <c r="G29" s="16" t="s">
        <v>445</v>
      </c>
      <c r="H29" s="16" t="s">
        <v>209</v>
      </c>
      <c r="I29" t="s">
        <v>511</v>
      </c>
    </row>
    <row r="30" spans="1:9" x14ac:dyDescent="0.25">
      <c r="A30" s="14" t="s">
        <v>254</v>
      </c>
      <c r="B30" s="15" t="s">
        <v>208</v>
      </c>
      <c r="C30" s="15" t="s">
        <v>214</v>
      </c>
      <c r="D30" s="15" t="s">
        <v>84</v>
      </c>
      <c r="E30" s="15" t="s">
        <v>201</v>
      </c>
      <c r="F30" s="15" t="s">
        <v>202</v>
      </c>
      <c r="G30" s="16" t="s">
        <v>196</v>
      </c>
      <c r="H30" s="16" t="s">
        <v>209</v>
      </c>
      <c r="I30" t="s">
        <v>511</v>
      </c>
    </row>
    <row r="31" spans="1:9" x14ac:dyDescent="0.25">
      <c r="A31" s="14" t="s">
        <v>255</v>
      </c>
      <c r="B31" s="15" t="s">
        <v>211</v>
      </c>
      <c r="C31" s="15" t="s">
        <v>214</v>
      </c>
      <c r="D31" s="15" t="s">
        <v>84</v>
      </c>
      <c r="E31" s="15" t="s">
        <v>201</v>
      </c>
      <c r="F31" s="15" t="s">
        <v>206</v>
      </c>
      <c r="G31" s="16" t="s">
        <v>196</v>
      </c>
      <c r="H31" s="16" t="s">
        <v>209</v>
      </c>
      <c r="I31" t="s">
        <v>511</v>
      </c>
    </row>
    <row r="32" spans="1:9" x14ac:dyDescent="0.25">
      <c r="A32" s="14" t="s">
        <v>256</v>
      </c>
      <c r="B32" s="15" t="s">
        <v>257</v>
      </c>
      <c r="C32" s="15" t="s">
        <v>214</v>
      </c>
      <c r="D32" s="15" t="s">
        <v>84</v>
      </c>
      <c r="E32" s="15" t="s">
        <v>201</v>
      </c>
      <c r="F32" s="15" t="s">
        <v>202</v>
      </c>
      <c r="G32" s="16" t="s">
        <v>445</v>
      </c>
      <c r="H32" s="16" t="s">
        <v>203</v>
      </c>
      <c r="I32" t="s">
        <v>510</v>
      </c>
    </row>
    <row r="33" spans="1:9" x14ac:dyDescent="0.25">
      <c r="A33" s="14" t="s">
        <v>258</v>
      </c>
      <c r="B33" s="15" t="s">
        <v>259</v>
      </c>
      <c r="C33" s="15" t="s">
        <v>214</v>
      </c>
      <c r="D33" s="15" t="s">
        <v>84</v>
      </c>
      <c r="E33" s="15" t="s">
        <v>201</v>
      </c>
      <c r="F33" s="15" t="s">
        <v>206</v>
      </c>
      <c r="G33" s="16" t="s">
        <v>445</v>
      </c>
      <c r="H33" s="16" t="s">
        <v>203</v>
      </c>
      <c r="I33" t="s">
        <v>510</v>
      </c>
    </row>
    <row r="34" spans="1:9" x14ac:dyDescent="0.25">
      <c r="A34" s="14" t="s">
        <v>260</v>
      </c>
      <c r="B34" s="15" t="s">
        <v>199</v>
      </c>
      <c r="C34" s="15" t="s">
        <v>214</v>
      </c>
      <c r="D34" s="15" t="s">
        <v>84</v>
      </c>
      <c r="E34" s="15" t="s">
        <v>201</v>
      </c>
      <c r="F34" s="15" t="s">
        <v>202</v>
      </c>
      <c r="G34" s="16" t="s">
        <v>196</v>
      </c>
      <c r="H34" s="16" t="s">
        <v>203</v>
      </c>
      <c r="I34" t="s">
        <v>510</v>
      </c>
    </row>
    <row r="35" spans="1:9" x14ac:dyDescent="0.25">
      <c r="A35" s="14" t="s">
        <v>261</v>
      </c>
      <c r="B35" s="15" t="s">
        <v>205</v>
      </c>
      <c r="C35" s="15" t="s">
        <v>214</v>
      </c>
      <c r="D35" s="15" t="s">
        <v>84</v>
      </c>
      <c r="E35" s="15" t="s">
        <v>201</v>
      </c>
      <c r="F35" s="15" t="s">
        <v>206</v>
      </c>
      <c r="G35" s="16" t="s">
        <v>196</v>
      </c>
      <c r="H35" s="16" t="s">
        <v>203</v>
      </c>
      <c r="I35" t="s">
        <v>510</v>
      </c>
    </row>
    <row r="36" spans="1:9" x14ac:dyDescent="0.25">
      <c r="A36" s="14" t="s">
        <v>262</v>
      </c>
      <c r="B36" s="15" t="s">
        <v>263</v>
      </c>
      <c r="C36" s="15" t="s">
        <v>214</v>
      </c>
      <c r="D36" s="15" t="s">
        <v>84</v>
      </c>
      <c r="E36" s="15" t="s">
        <v>201</v>
      </c>
      <c r="F36" s="15" t="s">
        <v>178</v>
      </c>
      <c r="G36" s="16" t="s">
        <v>196</v>
      </c>
      <c r="H36" s="16" t="s">
        <v>445</v>
      </c>
      <c r="I36" t="s">
        <v>510</v>
      </c>
    </row>
    <row r="37" spans="1:9" x14ac:dyDescent="0.25">
      <c r="A37" s="14" t="s">
        <v>446</v>
      </c>
      <c r="B37" s="15" t="s">
        <v>208</v>
      </c>
      <c r="C37" s="15" t="s">
        <v>214</v>
      </c>
      <c r="D37" s="15" t="s">
        <v>84</v>
      </c>
      <c r="E37" s="15" t="s">
        <v>201</v>
      </c>
      <c r="F37" s="15" t="s">
        <v>202</v>
      </c>
      <c r="G37" s="16" t="s">
        <v>196</v>
      </c>
      <c r="H37" s="16" t="s">
        <v>209</v>
      </c>
      <c r="I37" t="s">
        <v>511</v>
      </c>
    </row>
    <row r="38" spans="1:9" x14ac:dyDescent="0.25">
      <c r="A38" s="14" t="s">
        <v>447</v>
      </c>
      <c r="B38" s="15" t="s">
        <v>211</v>
      </c>
      <c r="C38" s="15" t="s">
        <v>214</v>
      </c>
      <c r="D38" s="15" t="s">
        <v>84</v>
      </c>
      <c r="E38" s="15" t="s">
        <v>201</v>
      </c>
      <c r="F38" s="15" t="s">
        <v>206</v>
      </c>
      <c r="G38" s="16" t="s">
        <v>196</v>
      </c>
      <c r="H38" s="16" t="s">
        <v>209</v>
      </c>
      <c r="I38" t="s">
        <v>511</v>
      </c>
    </row>
    <row r="39" spans="1:9" x14ac:dyDescent="0.25">
      <c r="A39" s="14" t="s">
        <v>264</v>
      </c>
      <c r="B39" s="15" t="s">
        <v>265</v>
      </c>
      <c r="C39" s="15" t="s">
        <v>200</v>
      </c>
      <c r="D39" s="15" t="s">
        <v>449</v>
      </c>
      <c r="E39" s="15" t="s">
        <v>443</v>
      </c>
      <c r="F39" s="15" t="s">
        <v>178</v>
      </c>
      <c r="G39" s="16" t="s">
        <v>196</v>
      </c>
      <c r="H39" s="16" t="s">
        <v>203</v>
      </c>
      <c r="I39" t="s">
        <v>513</v>
      </c>
    </row>
    <row r="40" spans="1:9" x14ac:dyDescent="0.25">
      <c r="A40" s="14" t="s">
        <v>266</v>
      </c>
      <c r="B40" s="15" t="s">
        <v>267</v>
      </c>
      <c r="C40" s="15" t="s">
        <v>200</v>
      </c>
      <c r="D40" s="15" t="s">
        <v>449</v>
      </c>
      <c r="E40" s="15" t="s">
        <v>443</v>
      </c>
      <c r="F40" s="15" t="s">
        <v>202</v>
      </c>
      <c r="G40" s="16" t="s">
        <v>196</v>
      </c>
      <c r="H40" s="16" t="s">
        <v>203</v>
      </c>
      <c r="I40" t="s">
        <v>513</v>
      </c>
    </row>
    <row r="41" spans="1:9" x14ac:dyDescent="0.25">
      <c r="A41" s="14" t="s">
        <v>268</v>
      </c>
      <c r="B41" s="15" t="s">
        <v>269</v>
      </c>
      <c r="C41" s="15" t="s">
        <v>200</v>
      </c>
      <c r="D41" s="15" t="s">
        <v>449</v>
      </c>
      <c r="E41" s="15" t="s">
        <v>443</v>
      </c>
      <c r="F41" s="15" t="s">
        <v>206</v>
      </c>
      <c r="G41" s="16" t="s">
        <v>196</v>
      </c>
      <c r="H41" s="16" t="s">
        <v>203</v>
      </c>
      <c r="I41" t="s">
        <v>513</v>
      </c>
    </row>
    <row r="42" spans="1:9" x14ac:dyDescent="0.25">
      <c r="A42" s="14" t="s">
        <v>454</v>
      </c>
      <c r="B42" s="15" t="s">
        <v>455</v>
      </c>
      <c r="C42" s="15" t="s">
        <v>200</v>
      </c>
      <c r="D42" s="15" t="s">
        <v>449</v>
      </c>
      <c r="E42" s="15" t="s">
        <v>443</v>
      </c>
      <c r="F42" s="15" t="s">
        <v>206</v>
      </c>
      <c r="G42" s="16" t="s">
        <v>196</v>
      </c>
      <c r="H42" s="16" t="s">
        <v>209</v>
      </c>
      <c r="I42" t="s">
        <v>514</v>
      </c>
    </row>
    <row r="43" spans="1:9" x14ac:dyDescent="0.25">
      <c r="A43" s="14" t="s">
        <v>461</v>
      </c>
      <c r="B43" s="15" t="s">
        <v>462</v>
      </c>
      <c r="C43" s="15" t="s">
        <v>200</v>
      </c>
      <c r="D43" s="15" t="s">
        <v>449</v>
      </c>
      <c r="E43" s="15" t="s">
        <v>443</v>
      </c>
      <c r="F43" s="15" t="s">
        <v>202</v>
      </c>
      <c r="G43" s="16" t="s">
        <v>196</v>
      </c>
      <c r="H43" s="16" t="s">
        <v>209</v>
      </c>
      <c r="I43" t="s">
        <v>514</v>
      </c>
    </row>
    <row r="44" spans="1:9" x14ac:dyDescent="0.25">
      <c r="A44" s="14" t="s">
        <v>270</v>
      </c>
      <c r="B44" s="15" t="s">
        <v>271</v>
      </c>
      <c r="C44" s="15" t="s">
        <v>214</v>
      </c>
      <c r="D44" s="15" t="s">
        <v>449</v>
      </c>
      <c r="E44" s="15" t="s">
        <v>443</v>
      </c>
      <c r="F44" s="15" t="s">
        <v>178</v>
      </c>
      <c r="G44" s="16" t="s">
        <v>445</v>
      </c>
      <c r="H44" s="16" t="s">
        <v>272</v>
      </c>
      <c r="I44" t="s">
        <v>270</v>
      </c>
    </row>
    <row r="45" spans="1:9" x14ac:dyDescent="0.25">
      <c r="A45" s="14" t="s">
        <v>273</v>
      </c>
      <c r="B45" s="15" t="s">
        <v>274</v>
      </c>
      <c r="C45" s="15" t="s">
        <v>214</v>
      </c>
      <c r="D45" s="15" t="s">
        <v>449</v>
      </c>
      <c r="E45" s="15" t="s">
        <v>443</v>
      </c>
      <c r="F45" s="15" t="s">
        <v>202</v>
      </c>
      <c r="G45" s="16" t="s">
        <v>196</v>
      </c>
      <c r="H45" s="16" t="s">
        <v>272</v>
      </c>
      <c r="I45" t="s">
        <v>517</v>
      </c>
    </row>
    <row r="46" spans="1:9" x14ac:dyDescent="0.25">
      <c r="A46" s="14" t="s">
        <v>275</v>
      </c>
      <c r="B46" s="15" t="s">
        <v>276</v>
      </c>
      <c r="C46" s="15" t="s">
        <v>214</v>
      </c>
      <c r="D46" s="15" t="s">
        <v>449</v>
      </c>
      <c r="E46" s="15" t="s">
        <v>443</v>
      </c>
      <c r="F46" s="15" t="s">
        <v>206</v>
      </c>
      <c r="G46" s="16" t="s">
        <v>196</v>
      </c>
      <c r="H46" s="16" t="s">
        <v>272</v>
      </c>
      <c r="I46" t="s">
        <v>517</v>
      </c>
    </row>
    <row r="47" spans="1:9" x14ac:dyDescent="0.25">
      <c r="A47" s="14" t="s">
        <v>277</v>
      </c>
      <c r="B47" s="15" t="s">
        <v>278</v>
      </c>
      <c r="C47" s="15" t="s">
        <v>214</v>
      </c>
      <c r="D47" s="15" t="s">
        <v>449</v>
      </c>
      <c r="E47" s="15" t="s">
        <v>443</v>
      </c>
      <c r="F47" s="15" t="s">
        <v>202</v>
      </c>
      <c r="G47" s="16" t="s">
        <v>196</v>
      </c>
      <c r="H47" s="16" t="s">
        <v>209</v>
      </c>
      <c r="I47" t="s">
        <v>514</v>
      </c>
    </row>
    <row r="48" spans="1:9" x14ac:dyDescent="0.25">
      <c r="A48" s="14" t="s">
        <v>279</v>
      </c>
      <c r="B48" s="15" t="s">
        <v>280</v>
      </c>
      <c r="C48" s="15" t="s">
        <v>214</v>
      </c>
      <c r="D48" s="15" t="s">
        <v>449</v>
      </c>
      <c r="E48" s="15" t="s">
        <v>443</v>
      </c>
      <c r="F48" s="15" t="s">
        <v>206</v>
      </c>
      <c r="G48" s="16" t="s">
        <v>196</v>
      </c>
      <c r="H48" s="16" t="s">
        <v>209</v>
      </c>
      <c r="I48" t="s">
        <v>514</v>
      </c>
    </row>
    <row r="49" spans="1:9" x14ac:dyDescent="0.25">
      <c r="A49" s="14" t="s">
        <v>500</v>
      </c>
      <c r="B49" s="15" t="s">
        <v>501</v>
      </c>
      <c r="C49" s="15" t="s">
        <v>214</v>
      </c>
      <c r="D49" s="15" t="s">
        <v>449</v>
      </c>
      <c r="E49" s="15" t="s">
        <v>443</v>
      </c>
      <c r="F49" s="15" t="s">
        <v>371</v>
      </c>
      <c r="G49" s="16" t="s">
        <v>196</v>
      </c>
      <c r="H49" s="16" t="s">
        <v>209</v>
      </c>
      <c r="I49" t="s">
        <v>513</v>
      </c>
    </row>
    <row r="50" spans="1:9" x14ac:dyDescent="0.25">
      <c r="A50" s="14" t="s">
        <v>281</v>
      </c>
      <c r="B50" s="15" t="s">
        <v>282</v>
      </c>
      <c r="C50" s="15" t="s">
        <v>214</v>
      </c>
      <c r="D50" s="15" t="s">
        <v>449</v>
      </c>
      <c r="E50" s="15" t="s">
        <v>443</v>
      </c>
      <c r="F50" s="15" t="s">
        <v>202</v>
      </c>
      <c r="G50" s="16" t="s">
        <v>196</v>
      </c>
      <c r="H50" s="16" t="s">
        <v>203</v>
      </c>
      <c r="I50" t="s">
        <v>513</v>
      </c>
    </row>
    <row r="51" spans="1:9" x14ac:dyDescent="0.25">
      <c r="A51" s="14" t="s">
        <v>283</v>
      </c>
      <c r="B51" s="15" t="s">
        <v>284</v>
      </c>
      <c r="C51" s="15" t="s">
        <v>214</v>
      </c>
      <c r="D51" s="15" t="s">
        <v>449</v>
      </c>
      <c r="E51" s="15" t="s">
        <v>443</v>
      </c>
      <c r="F51" s="15" t="s">
        <v>206</v>
      </c>
      <c r="G51" s="16" t="s">
        <v>196</v>
      </c>
      <c r="H51" s="16" t="s">
        <v>203</v>
      </c>
      <c r="I51" t="s">
        <v>513</v>
      </c>
    </row>
    <row r="52" spans="1:9" x14ac:dyDescent="0.25">
      <c r="A52" s="14" t="s">
        <v>285</v>
      </c>
      <c r="B52" s="15" t="s">
        <v>286</v>
      </c>
      <c r="C52" s="15" t="s">
        <v>214</v>
      </c>
      <c r="D52" s="15" t="s">
        <v>449</v>
      </c>
      <c r="E52" s="15" t="s">
        <v>443</v>
      </c>
      <c r="F52" s="15" t="s">
        <v>178</v>
      </c>
      <c r="G52" s="16" t="s">
        <v>196</v>
      </c>
      <c r="H52" s="16" t="s">
        <v>203</v>
      </c>
      <c r="I52" t="s">
        <v>513</v>
      </c>
    </row>
    <row r="53" spans="1:9" x14ac:dyDescent="0.25">
      <c r="A53" s="14" t="s">
        <v>287</v>
      </c>
      <c r="B53" s="15" t="s">
        <v>288</v>
      </c>
      <c r="C53" s="15" t="s">
        <v>214</v>
      </c>
      <c r="D53" s="15" t="s">
        <v>449</v>
      </c>
      <c r="E53" s="15" t="s">
        <v>443</v>
      </c>
      <c r="F53" s="15" t="s">
        <v>178</v>
      </c>
      <c r="G53" s="16" t="s">
        <v>445</v>
      </c>
      <c r="H53" s="16" t="s">
        <v>203</v>
      </c>
      <c r="I53" t="s">
        <v>517</v>
      </c>
    </row>
    <row r="54" spans="1:9" x14ac:dyDescent="0.25">
      <c r="A54" s="14" t="s">
        <v>456</v>
      </c>
      <c r="B54" s="15" t="s">
        <v>459</v>
      </c>
      <c r="C54" s="15" t="s">
        <v>214</v>
      </c>
      <c r="D54" s="15" t="s">
        <v>449</v>
      </c>
      <c r="E54" s="15" t="s">
        <v>443</v>
      </c>
      <c r="F54" s="15" t="s">
        <v>202</v>
      </c>
      <c r="G54" s="16" t="s">
        <v>196</v>
      </c>
      <c r="H54" s="16" t="s">
        <v>458</v>
      </c>
      <c r="I54" t="s">
        <v>513</v>
      </c>
    </row>
    <row r="55" spans="1:9" x14ac:dyDescent="0.25">
      <c r="A55" s="14" t="s">
        <v>457</v>
      </c>
      <c r="B55" s="15" t="s">
        <v>460</v>
      </c>
      <c r="C55" s="15" t="s">
        <v>214</v>
      </c>
      <c r="D55" s="15" t="s">
        <v>449</v>
      </c>
      <c r="E55" s="15" t="s">
        <v>443</v>
      </c>
      <c r="F55" s="15" t="s">
        <v>206</v>
      </c>
      <c r="G55" s="16" t="s">
        <v>196</v>
      </c>
      <c r="H55" s="16" t="s">
        <v>458</v>
      </c>
      <c r="I55" t="s">
        <v>513</v>
      </c>
    </row>
    <row r="56" spans="1:9" x14ac:dyDescent="0.25">
      <c r="A56" s="14" t="s">
        <v>479</v>
      </c>
      <c r="B56" s="15" t="s">
        <v>480</v>
      </c>
      <c r="C56" s="15" t="s">
        <v>214</v>
      </c>
      <c r="D56" s="15" t="s">
        <v>449</v>
      </c>
      <c r="E56" s="15" t="s">
        <v>443</v>
      </c>
      <c r="F56" s="15" t="s">
        <v>178</v>
      </c>
      <c r="G56" s="16" t="s">
        <v>196</v>
      </c>
      <c r="H56" s="16" t="s">
        <v>458</v>
      </c>
      <c r="I56" t="s">
        <v>513</v>
      </c>
    </row>
    <row r="57" spans="1:9" x14ac:dyDescent="0.25">
      <c r="A57" s="14" t="s">
        <v>487</v>
      </c>
      <c r="B57" s="15" t="s">
        <v>490</v>
      </c>
      <c r="C57" s="15" t="s">
        <v>214</v>
      </c>
      <c r="D57" s="15" t="s">
        <v>449</v>
      </c>
      <c r="E57" s="15" t="s">
        <v>489</v>
      </c>
      <c r="F57" s="15" t="s">
        <v>206</v>
      </c>
      <c r="G57" s="16" t="s">
        <v>196</v>
      </c>
      <c r="H57" s="16" t="s">
        <v>203</v>
      </c>
      <c r="I57" t="s">
        <v>515</v>
      </c>
    </row>
    <row r="58" spans="1:9" x14ac:dyDescent="0.25">
      <c r="A58" s="14" t="s">
        <v>488</v>
      </c>
      <c r="B58" s="15" t="s">
        <v>491</v>
      </c>
      <c r="C58" s="15" t="s">
        <v>214</v>
      </c>
      <c r="D58" s="15" t="s">
        <v>449</v>
      </c>
      <c r="E58" s="15" t="s">
        <v>489</v>
      </c>
      <c r="F58" s="15" t="s">
        <v>202</v>
      </c>
      <c r="G58" s="16" t="s">
        <v>196</v>
      </c>
      <c r="H58" s="16" t="s">
        <v>203</v>
      </c>
      <c r="I58" t="s">
        <v>515</v>
      </c>
    </row>
    <row r="59" spans="1:9" x14ac:dyDescent="0.25">
      <c r="A59" s="14" t="s">
        <v>492</v>
      </c>
      <c r="B59" s="15" t="s">
        <v>494</v>
      </c>
      <c r="C59" s="15" t="s">
        <v>214</v>
      </c>
      <c r="D59" s="15" t="s">
        <v>449</v>
      </c>
      <c r="E59" s="15" t="s">
        <v>496</v>
      </c>
      <c r="F59" s="15" t="s">
        <v>202</v>
      </c>
      <c r="G59" s="16" t="s">
        <v>196</v>
      </c>
      <c r="H59" s="16" t="s">
        <v>203</v>
      </c>
      <c r="I59" t="s">
        <v>516</v>
      </c>
    </row>
    <row r="60" spans="1:9" x14ac:dyDescent="0.25">
      <c r="A60" s="14" t="s">
        <v>493</v>
      </c>
      <c r="B60" s="15" t="s">
        <v>495</v>
      </c>
      <c r="C60" s="15" t="s">
        <v>214</v>
      </c>
      <c r="D60" s="15" t="s">
        <v>449</v>
      </c>
      <c r="E60" s="15" t="s">
        <v>496</v>
      </c>
      <c r="F60" s="15" t="s">
        <v>206</v>
      </c>
      <c r="G60" s="16" t="s">
        <v>196</v>
      </c>
      <c r="H60" s="16" t="s">
        <v>203</v>
      </c>
      <c r="I60" t="s">
        <v>516</v>
      </c>
    </row>
    <row r="61" spans="1:9" x14ac:dyDescent="0.25">
      <c r="A61" s="14" t="s">
        <v>291</v>
      </c>
      <c r="B61" s="15" t="s">
        <v>292</v>
      </c>
      <c r="C61" s="15" t="s">
        <v>200</v>
      </c>
      <c r="D61" s="15" t="s">
        <v>96</v>
      </c>
      <c r="E61" s="15" t="s">
        <v>293</v>
      </c>
      <c r="F61" s="15" t="s">
        <v>178</v>
      </c>
      <c r="G61" s="16" t="s">
        <v>445</v>
      </c>
      <c r="H61" s="16" t="s">
        <v>445</v>
      </c>
      <c r="I61" t="s">
        <v>517</v>
      </c>
    </row>
    <row r="62" spans="1:9" x14ac:dyDescent="0.25">
      <c r="A62" s="14" t="s">
        <v>294</v>
      </c>
      <c r="B62" s="15" t="s">
        <v>295</v>
      </c>
      <c r="C62" s="15" t="s">
        <v>200</v>
      </c>
      <c r="D62" s="15" t="s">
        <v>96</v>
      </c>
      <c r="E62" s="15" t="s">
        <v>293</v>
      </c>
      <c r="F62" s="15" t="s">
        <v>178</v>
      </c>
      <c r="G62" s="16" t="s">
        <v>445</v>
      </c>
      <c r="H62" s="16" t="s">
        <v>445</v>
      </c>
      <c r="I62" t="s">
        <v>517</v>
      </c>
    </row>
    <row r="63" spans="1:9" x14ac:dyDescent="0.25">
      <c r="A63" s="14" t="s">
        <v>296</v>
      </c>
      <c r="B63" s="15" t="s">
        <v>297</v>
      </c>
      <c r="C63" s="15" t="s">
        <v>200</v>
      </c>
      <c r="D63" s="15" t="s">
        <v>96</v>
      </c>
      <c r="E63" s="15" t="s">
        <v>293</v>
      </c>
      <c r="F63" s="15" t="s">
        <v>178</v>
      </c>
      <c r="G63" s="16" t="s">
        <v>445</v>
      </c>
      <c r="H63" s="16" t="s">
        <v>445</v>
      </c>
      <c r="I63" t="s">
        <v>517</v>
      </c>
    </row>
    <row r="64" spans="1:9" x14ac:dyDescent="0.25">
      <c r="A64" s="14" t="s">
        <v>298</v>
      </c>
      <c r="B64" s="15" t="s">
        <v>292</v>
      </c>
      <c r="C64" s="15" t="s">
        <v>214</v>
      </c>
      <c r="D64" s="15" t="s">
        <v>96</v>
      </c>
      <c r="E64" s="15" t="s">
        <v>293</v>
      </c>
      <c r="F64" s="15" t="s">
        <v>178</v>
      </c>
      <c r="G64" s="16" t="s">
        <v>445</v>
      </c>
      <c r="H64" s="16" t="s">
        <v>445</v>
      </c>
      <c r="I64" t="s">
        <v>517</v>
      </c>
    </row>
    <row r="65" spans="1:9" x14ac:dyDescent="0.25">
      <c r="A65" s="14" t="s">
        <v>299</v>
      </c>
      <c r="B65" s="15" t="s">
        <v>295</v>
      </c>
      <c r="C65" s="15" t="s">
        <v>214</v>
      </c>
      <c r="D65" s="15" t="s">
        <v>96</v>
      </c>
      <c r="E65" s="15" t="s">
        <v>293</v>
      </c>
      <c r="F65" s="15" t="s">
        <v>178</v>
      </c>
      <c r="G65" s="16" t="s">
        <v>445</v>
      </c>
      <c r="H65" s="16" t="s">
        <v>445</v>
      </c>
      <c r="I65" t="s">
        <v>517</v>
      </c>
    </row>
    <row r="66" spans="1:9" x14ac:dyDescent="0.25">
      <c r="A66" s="14" t="s">
        <v>300</v>
      </c>
      <c r="B66" s="15" t="s">
        <v>297</v>
      </c>
      <c r="C66" s="15" t="s">
        <v>214</v>
      </c>
      <c r="D66" s="15" t="s">
        <v>96</v>
      </c>
      <c r="E66" s="15" t="s">
        <v>293</v>
      </c>
      <c r="F66" s="15" t="s">
        <v>178</v>
      </c>
      <c r="G66" s="16" t="s">
        <v>445</v>
      </c>
      <c r="H66" s="16" t="s">
        <v>445</v>
      </c>
      <c r="I66" t="s">
        <v>517</v>
      </c>
    </row>
    <row r="67" spans="1:9" x14ac:dyDescent="0.25">
      <c r="A67" s="14" t="s">
        <v>301</v>
      </c>
      <c r="B67" s="15" t="s">
        <v>302</v>
      </c>
      <c r="C67" s="15" t="s">
        <v>200</v>
      </c>
      <c r="D67" s="15" t="s">
        <v>142</v>
      </c>
      <c r="E67" s="15" t="s">
        <v>293</v>
      </c>
      <c r="F67" s="15" t="s">
        <v>178</v>
      </c>
      <c r="G67" s="16" t="s">
        <v>445</v>
      </c>
      <c r="H67" s="16" t="s">
        <v>445</v>
      </c>
      <c r="I67" t="s">
        <v>517</v>
      </c>
    </row>
    <row r="68" spans="1:9" x14ac:dyDescent="0.25">
      <c r="A68" s="14" t="s">
        <v>303</v>
      </c>
      <c r="B68" s="15" t="s">
        <v>304</v>
      </c>
      <c r="C68" s="15" t="s">
        <v>200</v>
      </c>
      <c r="D68" s="15" t="s">
        <v>142</v>
      </c>
      <c r="E68" s="15" t="s">
        <v>293</v>
      </c>
      <c r="F68" s="15" t="s">
        <v>178</v>
      </c>
      <c r="G68" s="16" t="s">
        <v>445</v>
      </c>
      <c r="H68" s="16" t="s">
        <v>445</v>
      </c>
      <c r="I68" t="s">
        <v>517</v>
      </c>
    </row>
    <row r="69" spans="1:9" x14ac:dyDescent="0.25">
      <c r="A69" s="14" t="s">
        <v>305</v>
      </c>
      <c r="B69" s="15" t="s">
        <v>164</v>
      </c>
      <c r="C69" s="15" t="s">
        <v>200</v>
      </c>
      <c r="D69" s="15" t="s">
        <v>142</v>
      </c>
      <c r="E69" s="15" t="s">
        <v>293</v>
      </c>
      <c r="F69" s="15" t="s">
        <v>178</v>
      </c>
      <c r="G69" s="16" t="s">
        <v>445</v>
      </c>
      <c r="H69" s="16" t="s">
        <v>445</v>
      </c>
      <c r="I69" t="s">
        <v>517</v>
      </c>
    </row>
    <row r="70" spans="1:9" x14ac:dyDescent="0.25">
      <c r="A70" s="14" t="s">
        <v>306</v>
      </c>
      <c r="B70" s="15" t="s">
        <v>165</v>
      </c>
      <c r="C70" s="15" t="s">
        <v>200</v>
      </c>
      <c r="D70" s="15" t="s">
        <v>142</v>
      </c>
      <c r="E70" s="15" t="s">
        <v>293</v>
      </c>
      <c r="F70" s="15" t="s">
        <v>178</v>
      </c>
      <c r="G70" s="16" t="s">
        <v>445</v>
      </c>
      <c r="H70" s="16" t="s">
        <v>445</v>
      </c>
      <c r="I70" t="s">
        <v>517</v>
      </c>
    </row>
    <row r="71" spans="1:9" x14ac:dyDescent="0.25">
      <c r="A71" s="14" t="s">
        <v>307</v>
      </c>
      <c r="B71" s="15" t="s">
        <v>308</v>
      </c>
      <c r="C71" s="15" t="s">
        <v>200</v>
      </c>
      <c r="D71" s="15" t="s">
        <v>142</v>
      </c>
      <c r="E71" s="15" t="s">
        <v>293</v>
      </c>
      <c r="F71" s="15" t="s">
        <v>178</v>
      </c>
      <c r="G71" s="16" t="s">
        <v>445</v>
      </c>
      <c r="H71" s="16" t="s">
        <v>445</v>
      </c>
      <c r="I71" t="s">
        <v>517</v>
      </c>
    </row>
    <row r="72" spans="1:9" x14ac:dyDescent="0.25">
      <c r="A72" s="14" t="s">
        <v>309</v>
      </c>
      <c r="B72" s="15" t="s">
        <v>176</v>
      </c>
      <c r="C72" s="15" t="s">
        <v>200</v>
      </c>
      <c r="D72" s="15" t="s">
        <v>142</v>
      </c>
      <c r="E72" s="15" t="s">
        <v>293</v>
      </c>
      <c r="F72" s="15" t="s">
        <v>178</v>
      </c>
      <c r="G72" s="16" t="s">
        <v>445</v>
      </c>
      <c r="H72" s="16" t="s">
        <v>445</v>
      </c>
      <c r="I72" t="s">
        <v>517</v>
      </c>
    </row>
    <row r="73" spans="1:9" x14ac:dyDescent="0.25">
      <c r="A73" s="14" t="s">
        <v>310</v>
      </c>
      <c r="B73" s="15" t="s">
        <v>166</v>
      </c>
      <c r="C73" s="15" t="s">
        <v>200</v>
      </c>
      <c r="D73" s="15" t="s">
        <v>142</v>
      </c>
      <c r="E73" s="15" t="s">
        <v>293</v>
      </c>
      <c r="F73" s="15" t="s">
        <v>178</v>
      </c>
      <c r="G73" s="16" t="s">
        <v>445</v>
      </c>
      <c r="H73" s="16" t="s">
        <v>445</v>
      </c>
      <c r="I73" t="s">
        <v>517</v>
      </c>
    </row>
    <row r="74" spans="1:9" x14ac:dyDescent="0.25">
      <c r="A74" s="14" t="s">
        <v>311</v>
      </c>
      <c r="B74" s="15" t="s">
        <v>164</v>
      </c>
      <c r="C74" s="15" t="s">
        <v>214</v>
      </c>
      <c r="D74" s="15" t="s">
        <v>142</v>
      </c>
      <c r="E74" s="15" t="s">
        <v>293</v>
      </c>
      <c r="F74" s="15" t="s">
        <v>178</v>
      </c>
      <c r="G74" s="16" t="s">
        <v>445</v>
      </c>
      <c r="H74" s="16" t="s">
        <v>445</v>
      </c>
      <c r="I74" t="s">
        <v>517</v>
      </c>
    </row>
    <row r="75" spans="1:9" x14ac:dyDescent="0.25">
      <c r="A75" s="14" t="s">
        <v>312</v>
      </c>
      <c r="B75" s="15" t="s">
        <v>176</v>
      </c>
      <c r="C75" s="15" t="s">
        <v>214</v>
      </c>
      <c r="D75" s="15" t="s">
        <v>142</v>
      </c>
      <c r="E75" s="15" t="s">
        <v>293</v>
      </c>
      <c r="F75" s="15" t="s">
        <v>178</v>
      </c>
      <c r="G75" s="16" t="s">
        <v>445</v>
      </c>
      <c r="H75" s="16" t="s">
        <v>445</v>
      </c>
      <c r="I75" t="s">
        <v>517</v>
      </c>
    </row>
    <row r="76" spans="1:9" x14ac:dyDescent="0.25">
      <c r="A76" s="14" t="s">
        <v>470</v>
      </c>
      <c r="B76" s="15" t="s">
        <v>175</v>
      </c>
      <c r="C76" s="15" t="s">
        <v>214</v>
      </c>
      <c r="D76" s="15" t="s">
        <v>142</v>
      </c>
      <c r="E76" s="15" t="s">
        <v>293</v>
      </c>
      <c r="F76" s="15" t="s">
        <v>178</v>
      </c>
      <c r="G76" s="16" t="s">
        <v>445</v>
      </c>
      <c r="H76" s="16" t="s">
        <v>445</v>
      </c>
      <c r="I76" t="s">
        <v>517</v>
      </c>
    </row>
    <row r="77" spans="1:9" x14ac:dyDescent="0.25">
      <c r="A77" s="14" t="s">
        <v>469</v>
      </c>
      <c r="B77" s="15" t="s">
        <v>174</v>
      </c>
      <c r="C77" s="15" t="s">
        <v>214</v>
      </c>
      <c r="D77" s="15" t="s">
        <v>142</v>
      </c>
      <c r="E77" s="15" t="s">
        <v>293</v>
      </c>
      <c r="F77" s="15" t="s">
        <v>178</v>
      </c>
      <c r="G77" s="16" t="s">
        <v>445</v>
      </c>
      <c r="H77" s="16" t="s">
        <v>445</v>
      </c>
      <c r="I77" t="s">
        <v>517</v>
      </c>
    </row>
    <row r="78" spans="1:9" x14ac:dyDescent="0.25">
      <c r="A78" s="14" t="s">
        <v>313</v>
      </c>
      <c r="B78" s="15" t="s">
        <v>302</v>
      </c>
      <c r="C78" s="15" t="s">
        <v>214</v>
      </c>
      <c r="D78" s="15" t="s">
        <v>142</v>
      </c>
      <c r="E78" s="15" t="s">
        <v>293</v>
      </c>
      <c r="F78" s="15" t="s">
        <v>178</v>
      </c>
      <c r="G78" s="16" t="s">
        <v>445</v>
      </c>
      <c r="H78" s="16" t="s">
        <v>445</v>
      </c>
      <c r="I78" t="s">
        <v>517</v>
      </c>
    </row>
    <row r="79" spans="1:9" x14ac:dyDescent="0.25">
      <c r="A79" s="14" t="s">
        <v>314</v>
      </c>
      <c r="B79" s="15" t="s">
        <v>304</v>
      </c>
      <c r="C79" s="15" t="s">
        <v>214</v>
      </c>
      <c r="D79" s="15" t="s">
        <v>142</v>
      </c>
      <c r="E79" s="15" t="s">
        <v>293</v>
      </c>
      <c r="F79" s="15" t="s">
        <v>178</v>
      </c>
      <c r="G79" s="16" t="s">
        <v>445</v>
      </c>
      <c r="H79" s="16" t="s">
        <v>445</v>
      </c>
      <c r="I79" t="s">
        <v>517</v>
      </c>
    </row>
    <row r="80" spans="1:9" x14ac:dyDescent="0.25">
      <c r="A80" s="14" t="s">
        <v>315</v>
      </c>
      <c r="B80" s="15" t="s">
        <v>308</v>
      </c>
      <c r="C80" s="15" t="s">
        <v>214</v>
      </c>
      <c r="D80" s="15" t="s">
        <v>142</v>
      </c>
      <c r="E80" s="15" t="s">
        <v>293</v>
      </c>
      <c r="F80" s="15" t="s">
        <v>178</v>
      </c>
      <c r="G80" s="16" t="s">
        <v>445</v>
      </c>
      <c r="H80" s="16" t="s">
        <v>445</v>
      </c>
      <c r="I80" t="s">
        <v>517</v>
      </c>
    </row>
    <row r="81" spans="1:9" x14ac:dyDescent="0.25">
      <c r="A81" s="14" t="s">
        <v>316</v>
      </c>
      <c r="B81" s="15" t="s">
        <v>165</v>
      </c>
      <c r="C81" s="15" t="s">
        <v>214</v>
      </c>
      <c r="D81" s="15" t="s">
        <v>142</v>
      </c>
      <c r="E81" s="15" t="s">
        <v>293</v>
      </c>
      <c r="F81" s="15" t="s">
        <v>178</v>
      </c>
      <c r="G81" s="16" t="s">
        <v>445</v>
      </c>
      <c r="H81" s="16" t="s">
        <v>445</v>
      </c>
      <c r="I81" t="s">
        <v>517</v>
      </c>
    </row>
    <row r="82" spans="1:9" x14ac:dyDescent="0.25">
      <c r="A82" s="14" t="s">
        <v>317</v>
      </c>
      <c r="B82" s="15" t="s">
        <v>166</v>
      </c>
      <c r="C82" s="15" t="s">
        <v>214</v>
      </c>
      <c r="D82" s="15" t="s">
        <v>142</v>
      </c>
      <c r="E82" s="15" t="s">
        <v>293</v>
      </c>
      <c r="F82" s="15" t="s">
        <v>178</v>
      </c>
      <c r="G82" s="16" t="s">
        <v>445</v>
      </c>
      <c r="H82" s="16" t="s">
        <v>445</v>
      </c>
      <c r="I82" t="s">
        <v>517</v>
      </c>
    </row>
    <row r="83" spans="1:9" x14ac:dyDescent="0.25">
      <c r="A83" s="14" t="s">
        <v>318</v>
      </c>
      <c r="B83" s="15" t="s">
        <v>319</v>
      </c>
      <c r="C83" s="15" t="s">
        <v>200</v>
      </c>
      <c r="D83" s="15" t="s">
        <v>111</v>
      </c>
      <c r="E83" s="15" t="s">
        <v>293</v>
      </c>
      <c r="F83" s="15" t="s">
        <v>178</v>
      </c>
      <c r="G83" s="16" t="s">
        <v>445</v>
      </c>
      <c r="H83" s="16" t="s">
        <v>445</v>
      </c>
      <c r="I83" t="s">
        <v>517</v>
      </c>
    </row>
    <row r="84" spans="1:9" x14ac:dyDescent="0.25">
      <c r="A84" s="14" t="s">
        <v>320</v>
      </c>
      <c r="B84" s="15" t="s">
        <v>321</v>
      </c>
      <c r="C84" s="15" t="s">
        <v>200</v>
      </c>
      <c r="D84" s="15" t="s">
        <v>111</v>
      </c>
      <c r="E84" s="15" t="s">
        <v>293</v>
      </c>
      <c r="F84" s="15" t="s">
        <v>178</v>
      </c>
      <c r="G84" s="16" t="s">
        <v>445</v>
      </c>
      <c r="H84" s="16" t="s">
        <v>445</v>
      </c>
      <c r="I84" t="s">
        <v>517</v>
      </c>
    </row>
    <row r="85" spans="1:9" x14ac:dyDescent="0.25">
      <c r="A85" s="14" t="s">
        <v>322</v>
      </c>
      <c r="B85" s="15" t="s">
        <v>323</v>
      </c>
      <c r="C85" s="15" t="s">
        <v>214</v>
      </c>
      <c r="D85" s="15" t="s">
        <v>111</v>
      </c>
      <c r="E85" s="15" t="s">
        <v>293</v>
      </c>
      <c r="F85" s="15" t="s">
        <v>178</v>
      </c>
      <c r="G85" s="16" t="s">
        <v>445</v>
      </c>
      <c r="H85" s="16" t="s">
        <v>445</v>
      </c>
      <c r="I85" t="s">
        <v>517</v>
      </c>
    </row>
    <row r="86" spans="1:9" x14ac:dyDescent="0.25">
      <c r="A86" s="14" t="s">
        <v>324</v>
      </c>
      <c r="B86" s="15" t="s">
        <v>319</v>
      </c>
      <c r="C86" s="15" t="s">
        <v>214</v>
      </c>
      <c r="D86" s="15" t="s">
        <v>111</v>
      </c>
      <c r="E86" s="15" t="s">
        <v>293</v>
      </c>
      <c r="F86" s="15" t="s">
        <v>178</v>
      </c>
      <c r="G86" s="16" t="s">
        <v>445</v>
      </c>
      <c r="H86" s="16" t="s">
        <v>445</v>
      </c>
      <c r="I86" t="s">
        <v>517</v>
      </c>
    </row>
    <row r="87" spans="1:9" x14ac:dyDescent="0.25">
      <c r="A87" s="14" t="s">
        <v>325</v>
      </c>
      <c r="B87" s="15" t="s">
        <v>321</v>
      </c>
      <c r="C87" s="15" t="s">
        <v>214</v>
      </c>
      <c r="D87" s="15" t="s">
        <v>111</v>
      </c>
      <c r="E87" s="15" t="s">
        <v>293</v>
      </c>
      <c r="F87" s="15" t="s">
        <v>178</v>
      </c>
      <c r="G87" s="16" t="s">
        <v>445</v>
      </c>
      <c r="H87" s="16" t="s">
        <v>445</v>
      </c>
      <c r="I87" t="s">
        <v>517</v>
      </c>
    </row>
    <row r="88" spans="1:9" x14ac:dyDescent="0.25">
      <c r="A88" s="14" t="s">
        <v>326</v>
      </c>
      <c r="B88" s="15" t="s">
        <v>327</v>
      </c>
      <c r="C88" s="15" t="s">
        <v>200</v>
      </c>
      <c r="D88" s="15" t="s">
        <v>293</v>
      </c>
      <c r="E88" s="15" t="s">
        <v>293</v>
      </c>
      <c r="F88" s="15" t="s">
        <v>178</v>
      </c>
      <c r="G88" s="16" t="s">
        <v>445</v>
      </c>
      <c r="H88" s="16" t="s">
        <v>445</v>
      </c>
      <c r="I88" t="s">
        <v>517</v>
      </c>
    </row>
    <row r="89" spans="1:9" x14ac:dyDescent="0.25">
      <c r="A89" s="14" t="s">
        <v>328</v>
      </c>
      <c r="B89" s="15" t="s">
        <v>329</v>
      </c>
      <c r="C89" s="15" t="s">
        <v>200</v>
      </c>
      <c r="D89" s="15" t="s">
        <v>293</v>
      </c>
      <c r="E89" s="15" t="s">
        <v>293</v>
      </c>
      <c r="F89" s="15" t="s">
        <v>178</v>
      </c>
      <c r="G89" s="16" t="s">
        <v>445</v>
      </c>
      <c r="H89" s="16" t="s">
        <v>445</v>
      </c>
      <c r="I89" t="s">
        <v>517</v>
      </c>
    </row>
    <row r="90" spans="1:9" x14ac:dyDescent="0.25">
      <c r="A90" s="14" t="s">
        <v>330</v>
      </c>
      <c r="B90" s="15" t="s">
        <v>327</v>
      </c>
      <c r="C90" s="15" t="s">
        <v>214</v>
      </c>
      <c r="D90" s="15" t="s">
        <v>293</v>
      </c>
      <c r="E90" s="15" t="s">
        <v>293</v>
      </c>
      <c r="F90" s="15" t="s">
        <v>178</v>
      </c>
      <c r="G90" s="16" t="s">
        <v>445</v>
      </c>
      <c r="H90" s="16" t="s">
        <v>445</v>
      </c>
      <c r="I90" t="s">
        <v>517</v>
      </c>
    </row>
    <row r="91" spans="1:9" x14ac:dyDescent="0.25">
      <c r="A91" s="14" t="s">
        <v>331</v>
      </c>
      <c r="B91" s="15" t="s">
        <v>332</v>
      </c>
      <c r="C91" s="15" t="s">
        <v>214</v>
      </c>
      <c r="D91" s="15" t="s">
        <v>293</v>
      </c>
      <c r="E91" s="15" t="s">
        <v>293</v>
      </c>
      <c r="F91" s="15" t="s">
        <v>178</v>
      </c>
      <c r="G91" s="16" t="s">
        <v>445</v>
      </c>
      <c r="H91" s="16" t="s">
        <v>445</v>
      </c>
      <c r="I91" t="s">
        <v>517</v>
      </c>
    </row>
    <row r="92" spans="1:9" x14ac:dyDescent="0.25">
      <c r="A92" s="14" t="s">
        <v>333</v>
      </c>
      <c r="B92" s="15" t="s">
        <v>329</v>
      </c>
      <c r="C92" s="15" t="s">
        <v>214</v>
      </c>
      <c r="D92" s="15" t="s">
        <v>293</v>
      </c>
      <c r="E92" s="15" t="s">
        <v>293</v>
      </c>
      <c r="F92" s="15" t="s">
        <v>178</v>
      </c>
      <c r="G92" s="16" t="s">
        <v>445</v>
      </c>
      <c r="H92" s="16" t="s">
        <v>445</v>
      </c>
      <c r="I92" t="s">
        <v>517</v>
      </c>
    </row>
    <row r="93" spans="1:9" x14ac:dyDescent="0.25">
      <c r="A93" s="14" t="s">
        <v>481</v>
      </c>
      <c r="B93" s="15" t="s">
        <v>482</v>
      </c>
      <c r="C93" s="15" t="s">
        <v>214</v>
      </c>
      <c r="D93" s="15" t="s">
        <v>293</v>
      </c>
      <c r="E93" s="15" t="s">
        <v>293</v>
      </c>
      <c r="F93" s="15" t="s">
        <v>178</v>
      </c>
      <c r="G93" s="16" t="s">
        <v>445</v>
      </c>
      <c r="H93" s="16" t="s">
        <v>445</v>
      </c>
      <c r="I93" t="s">
        <v>517</v>
      </c>
    </row>
    <row r="94" spans="1:9" x14ac:dyDescent="0.25">
      <c r="A94" s="14" t="s">
        <v>334</v>
      </c>
      <c r="B94" s="15" t="s">
        <v>335</v>
      </c>
      <c r="C94" s="15" t="s">
        <v>200</v>
      </c>
      <c r="D94" s="15" t="s">
        <v>125</v>
      </c>
      <c r="E94" s="15" t="s">
        <v>293</v>
      </c>
      <c r="F94" s="15" t="s">
        <v>178</v>
      </c>
      <c r="G94" s="16" t="s">
        <v>445</v>
      </c>
      <c r="H94" s="16" t="s">
        <v>445</v>
      </c>
      <c r="I94" t="s">
        <v>517</v>
      </c>
    </row>
    <row r="95" spans="1:9" x14ac:dyDescent="0.25">
      <c r="A95" s="14" t="s">
        <v>336</v>
      </c>
      <c r="B95" s="15" t="s">
        <v>337</v>
      </c>
      <c r="C95" s="15" t="s">
        <v>200</v>
      </c>
      <c r="D95" s="15" t="s">
        <v>125</v>
      </c>
      <c r="E95" s="15" t="s">
        <v>293</v>
      </c>
      <c r="F95" s="15" t="s">
        <v>178</v>
      </c>
      <c r="G95" s="16" t="s">
        <v>445</v>
      </c>
      <c r="H95" s="16" t="s">
        <v>445</v>
      </c>
      <c r="I95" t="s">
        <v>517</v>
      </c>
    </row>
    <row r="96" spans="1:9" x14ac:dyDescent="0.25">
      <c r="A96" s="14" t="s">
        <v>338</v>
      </c>
      <c r="B96" s="15" t="s">
        <v>335</v>
      </c>
      <c r="C96" s="15" t="s">
        <v>214</v>
      </c>
      <c r="D96" s="15" t="s">
        <v>125</v>
      </c>
      <c r="E96" s="15" t="s">
        <v>293</v>
      </c>
      <c r="F96" s="15" t="s">
        <v>178</v>
      </c>
      <c r="G96" s="16" t="s">
        <v>445</v>
      </c>
      <c r="H96" s="16" t="s">
        <v>445</v>
      </c>
      <c r="I96" t="s">
        <v>517</v>
      </c>
    </row>
    <row r="97" spans="1:9" x14ac:dyDescent="0.25">
      <c r="A97" s="14" t="s">
        <v>339</v>
      </c>
      <c r="B97" s="15" t="s">
        <v>340</v>
      </c>
      <c r="C97" s="15" t="s">
        <v>214</v>
      </c>
      <c r="D97" s="15" t="s">
        <v>125</v>
      </c>
      <c r="E97" s="15" t="s">
        <v>293</v>
      </c>
      <c r="F97" s="15" t="s">
        <v>178</v>
      </c>
      <c r="G97" s="16" t="s">
        <v>445</v>
      </c>
      <c r="H97" s="16" t="s">
        <v>445</v>
      </c>
      <c r="I97" t="s">
        <v>517</v>
      </c>
    </row>
    <row r="98" spans="1:9" x14ac:dyDescent="0.25">
      <c r="A98" s="14" t="s">
        <v>341</v>
      </c>
      <c r="B98" s="15" t="s">
        <v>342</v>
      </c>
      <c r="C98" s="15" t="s">
        <v>214</v>
      </c>
      <c r="D98" s="15" t="s">
        <v>125</v>
      </c>
      <c r="E98" s="15" t="s">
        <v>293</v>
      </c>
      <c r="F98" s="15" t="s">
        <v>178</v>
      </c>
      <c r="G98" s="16" t="s">
        <v>445</v>
      </c>
      <c r="H98" s="16" t="s">
        <v>445</v>
      </c>
      <c r="I98" t="s">
        <v>517</v>
      </c>
    </row>
    <row r="99" spans="1:9" x14ac:dyDescent="0.25">
      <c r="A99" s="14" t="s">
        <v>343</v>
      </c>
      <c r="B99" s="15" t="s">
        <v>337</v>
      </c>
      <c r="C99" s="15" t="s">
        <v>214</v>
      </c>
      <c r="D99" s="15" t="s">
        <v>125</v>
      </c>
      <c r="E99" s="15" t="s">
        <v>293</v>
      </c>
      <c r="F99" s="15" t="s">
        <v>178</v>
      </c>
      <c r="G99" s="16" t="s">
        <v>445</v>
      </c>
      <c r="H99" s="16" t="s">
        <v>445</v>
      </c>
      <c r="I99" t="s">
        <v>517</v>
      </c>
    </row>
    <row r="100" spans="1:9" x14ac:dyDescent="0.25">
      <c r="A100" s="14" t="s">
        <v>344</v>
      </c>
      <c r="B100" s="15" t="s">
        <v>345</v>
      </c>
      <c r="C100" s="15" t="s">
        <v>214</v>
      </c>
      <c r="D100" s="15" t="s">
        <v>125</v>
      </c>
      <c r="E100" s="15" t="s">
        <v>293</v>
      </c>
      <c r="F100" s="15" t="s">
        <v>178</v>
      </c>
      <c r="G100" s="16" t="s">
        <v>445</v>
      </c>
      <c r="H100" s="16" t="s">
        <v>445</v>
      </c>
      <c r="I100" t="s">
        <v>517</v>
      </c>
    </row>
    <row r="101" spans="1:9" x14ac:dyDescent="0.25">
      <c r="A101" s="14" t="s">
        <v>346</v>
      </c>
      <c r="B101" s="15" t="s">
        <v>347</v>
      </c>
      <c r="C101" s="15" t="s">
        <v>200</v>
      </c>
      <c r="D101" s="15" t="s">
        <v>102</v>
      </c>
      <c r="E101" s="15" t="s">
        <v>293</v>
      </c>
      <c r="F101" s="15" t="s">
        <v>178</v>
      </c>
      <c r="G101" s="16" t="s">
        <v>445</v>
      </c>
      <c r="H101" s="16" t="s">
        <v>445</v>
      </c>
      <c r="I101" t="s">
        <v>517</v>
      </c>
    </row>
    <row r="102" spans="1:9" x14ac:dyDescent="0.25">
      <c r="A102" s="14" t="s">
        <v>348</v>
      </c>
      <c r="B102" s="15" t="s">
        <v>349</v>
      </c>
      <c r="C102" s="15" t="s">
        <v>214</v>
      </c>
      <c r="D102" s="15" t="s">
        <v>102</v>
      </c>
      <c r="E102" s="15" t="s">
        <v>293</v>
      </c>
      <c r="F102" s="15" t="s">
        <v>178</v>
      </c>
      <c r="G102" s="16" t="s">
        <v>445</v>
      </c>
      <c r="H102" s="16" t="s">
        <v>445</v>
      </c>
      <c r="I102" t="s">
        <v>517</v>
      </c>
    </row>
    <row r="103" spans="1:9" x14ac:dyDescent="0.25">
      <c r="A103" s="14" t="s">
        <v>350</v>
      </c>
      <c r="B103" s="15" t="s">
        <v>347</v>
      </c>
      <c r="C103" s="15" t="s">
        <v>214</v>
      </c>
      <c r="D103" s="15" t="s">
        <v>102</v>
      </c>
      <c r="E103" s="15" t="s">
        <v>293</v>
      </c>
      <c r="F103" s="15" t="s">
        <v>178</v>
      </c>
      <c r="G103" s="16" t="s">
        <v>445</v>
      </c>
      <c r="H103" s="16" t="s">
        <v>445</v>
      </c>
      <c r="I103" t="s">
        <v>517</v>
      </c>
    </row>
    <row r="104" spans="1:9" x14ac:dyDescent="0.25">
      <c r="A104" s="14" t="s">
        <v>289</v>
      </c>
      <c r="B104" s="15" t="s">
        <v>271</v>
      </c>
      <c r="C104" s="15" t="s">
        <v>214</v>
      </c>
      <c r="D104" s="15" t="s">
        <v>290</v>
      </c>
      <c r="E104" s="15" t="s">
        <v>444</v>
      </c>
      <c r="F104" s="15" t="s">
        <v>178</v>
      </c>
      <c r="G104" s="16" t="s">
        <v>445</v>
      </c>
      <c r="H104" s="16" t="s">
        <v>272</v>
      </c>
      <c r="I104" t="s">
        <v>517</v>
      </c>
    </row>
    <row r="105" spans="1:9" x14ac:dyDescent="0.25">
      <c r="A105" s="14" t="s">
        <v>351</v>
      </c>
      <c r="B105" s="15" t="s">
        <v>352</v>
      </c>
      <c r="C105" s="15" t="s">
        <v>200</v>
      </c>
      <c r="D105" s="15" t="s">
        <v>90</v>
      </c>
      <c r="E105" s="15" t="s">
        <v>353</v>
      </c>
      <c r="F105" s="15" t="s">
        <v>178</v>
      </c>
      <c r="G105" s="16" t="s">
        <v>445</v>
      </c>
      <c r="H105" s="16" t="s">
        <v>445</v>
      </c>
      <c r="I105" t="s">
        <v>517</v>
      </c>
    </row>
    <row r="106" spans="1:9" x14ac:dyDescent="0.25">
      <c r="A106" s="14" t="s">
        <v>354</v>
      </c>
      <c r="B106" s="15" t="s">
        <v>354</v>
      </c>
      <c r="C106" s="15" t="s">
        <v>214</v>
      </c>
      <c r="D106" s="15" t="s">
        <v>90</v>
      </c>
      <c r="E106" s="15" t="s">
        <v>353</v>
      </c>
      <c r="F106" s="15" t="s">
        <v>178</v>
      </c>
      <c r="G106" s="16" t="s">
        <v>445</v>
      </c>
      <c r="H106" s="16" t="s">
        <v>445</v>
      </c>
      <c r="I106" t="s">
        <v>517</v>
      </c>
    </row>
    <row r="107" spans="1:9" x14ac:dyDescent="0.25">
      <c r="A107" s="14" t="s">
        <v>355</v>
      </c>
      <c r="B107" s="15" t="s">
        <v>352</v>
      </c>
      <c r="C107" s="15" t="s">
        <v>214</v>
      </c>
      <c r="D107" s="15" t="s">
        <v>90</v>
      </c>
      <c r="E107" s="15" t="s">
        <v>353</v>
      </c>
      <c r="F107" s="15" t="s">
        <v>178</v>
      </c>
      <c r="G107" s="16" t="s">
        <v>445</v>
      </c>
      <c r="H107" s="16" t="s">
        <v>445</v>
      </c>
      <c r="I107" t="s">
        <v>517</v>
      </c>
    </row>
    <row r="108" spans="1:9" x14ac:dyDescent="0.25">
      <c r="A108" s="14" t="s">
        <v>356</v>
      </c>
      <c r="B108" s="15" t="s">
        <v>357</v>
      </c>
      <c r="C108" s="15" t="s">
        <v>200</v>
      </c>
      <c r="D108" s="15" t="s">
        <v>358</v>
      </c>
      <c r="E108" s="15" t="s">
        <v>359</v>
      </c>
      <c r="F108" s="15" t="s">
        <v>178</v>
      </c>
      <c r="G108" s="16" t="s">
        <v>445</v>
      </c>
      <c r="H108" s="16" t="s">
        <v>445</v>
      </c>
      <c r="I108" t="s">
        <v>517</v>
      </c>
    </row>
    <row r="109" spans="1:9" x14ac:dyDescent="0.25">
      <c r="A109" s="14" t="s">
        <v>360</v>
      </c>
      <c r="B109" s="15" t="s">
        <v>361</v>
      </c>
      <c r="C109" s="15" t="s">
        <v>200</v>
      </c>
      <c r="D109" s="15" t="s">
        <v>358</v>
      </c>
      <c r="E109" s="15" t="s">
        <v>359</v>
      </c>
      <c r="F109" s="15" t="s">
        <v>178</v>
      </c>
      <c r="G109" s="16" t="s">
        <v>445</v>
      </c>
      <c r="H109" s="16" t="s">
        <v>445</v>
      </c>
      <c r="I109" t="s">
        <v>517</v>
      </c>
    </row>
    <row r="110" spans="1:9" x14ac:dyDescent="0.25">
      <c r="A110" s="14" t="s">
        <v>362</v>
      </c>
      <c r="B110" s="15" t="s">
        <v>363</v>
      </c>
      <c r="C110" s="15" t="s">
        <v>200</v>
      </c>
      <c r="D110" s="15" t="s">
        <v>168</v>
      </c>
      <c r="E110" s="15" t="s">
        <v>359</v>
      </c>
      <c r="F110" s="15" t="s">
        <v>178</v>
      </c>
      <c r="G110" s="16" t="s">
        <v>445</v>
      </c>
      <c r="H110" s="16" t="s">
        <v>445</v>
      </c>
      <c r="I110" t="s">
        <v>517</v>
      </c>
    </row>
    <row r="111" spans="1:9" x14ac:dyDescent="0.25">
      <c r="A111" s="14" t="s">
        <v>364</v>
      </c>
      <c r="B111" s="15" t="s">
        <v>365</v>
      </c>
      <c r="C111" s="15" t="s">
        <v>200</v>
      </c>
      <c r="D111" s="15" t="s">
        <v>168</v>
      </c>
      <c r="E111" s="15" t="s">
        <v>359</v>
      </c>
      <c r="F111" s="15" t="s">
        <v>178</v>
      </c>
      <c r="G111" s="16" t="s">
        <v>445</v>
      </c>
      <c r="H111" s="16" t="s">
        <v>445</v>
      </c>
      <c r="I111" t="s">
        <v>517</v>
      </c>
    </row>
    <row r="112" spans="1:9" x14ac:dyDescent="0.25">
      <c r="A112" s="14" t="s">
        <v>366</v>
      </c>
      <c r="B112" s="15" t="s">
        <v>367</v>
      </c>
      <c r="C112" s="15" t="s">
        <v>200</v>
      </c>
      <c r="D112" s="15" t="s">
        <v>168</v>
      </c>
      <c r="E112" s="15" t="s">
        <v>359</v>
      </c>
      <c r="F112" s="15" t="s">
        <v>178</v>
      </c>
      <c r="G112" s="16" t="s">
        <v>445</v>
      </c>
      <c r="H112" s="16" t="s">
        <v>445</v>
      </c>
      <c r="I112" t="s">
        <v>517</v>
      </c>
    </row>
    <row r="113" spans="1:9" x14ac:dyDescent="0.25">
      <c r="A113" s="14" t="s">
        <v>368</v>
      </c>
      <c r="B113" s="15" t="s">
        <v>369</v>
      </c>
      <c r="C113" s="15" t="s">
        <v>200</v>
      </c>
      <c r="D113" s="15" t="s">
        <v>370</v>
      </c>
      <c r="E113" s="15" t="s">
        <v>359</v>
      </c>
      <c r="F113" s="15" t="s">
        <v>371</v>
      </c>
      <c r="G113" s="16" t="s">
        <v>445</v>
      </c>
      <c r="H113" s="16" t="s">
        <v>445</v>
      </c>
      <c r="I113" t="s">
        <v>517</v>
      </c>
    </row>
    <row r="114" spans="1:9" x14ac:dyDescent="0.25">
      <c r="A114" s="14" t="s">
        <v>372</v>
      </c>
      <c r="B114" s="15" t="s">
        <v>373</v>
      </c>
      <c r="C114" s="15" t="s">
        <v>200</v>
      </c>
      <c r="D114" s="15" t="s">
        <v>370</v>
      </c>
      <c r="E114" s="15" t="s">
        <v>359</v>
      </c>
      <c r="F114" s="15" t="s">
        <v>371</v>
      </c>
      <c r="G114" s="16" t="s">
        <v>445</v>
      </c>
      <c r="H114" s="16" t="s">
        <v>445</v>
      </c>
      <c r="I114" t="s">
        <v>517</v>
      </c>
    </row>
    <row r="115" spans="1:9" x14ac:dyDescent="0.25">
      <c r="A115" s="14" t="s">
        <v>374</v>
      </c>
      <c r="B115" s="15" t="s">
        <v>375</v>
      </c>
      <c r="C115" s="15" t="s">
        <v>200</v>
      </c>
      <c r="D115" s="15" t="s">
        <v>370</v>
      </c>
      <c r="E115" s="15" t="s">
        <v>359</v>
      </c>
      <c r="F115" s="15" t="s">
        <v>371</v>
      </c>
      <c r="G115" s="16" t="s">
        <v>445</v>
      </c>
      <c r="H115" s="16" t="s">
        <v>445</v>
      </c>
      <c r="I115" t="s">
        <v>517</v>
      </c>
    </row>
    <row r="116" spans="1:9" x14ac:dyDescent="0.25">
      <c r="A116" s="14" t="s">
        <v>376</v>
      </c>
      <c r="B116" s="15" t="s">
        <v>377</v>
      </c>
      <c r="C116" s="15" t="s">
        <v>200</v>
      </c>
      <c r="D116" s="15" t="s">
        <v>378</v>
      </c>
      <c r="E116" s="15" t="s">
        <v>359</v>
      </c>
      <c r="F116" s="15" t="s">
        <v>178</v>
      </c>
      <c r="G116" s="16" t="s">
        <v>445</v>
      </c>
      <c r="H116" s="16" t="s">
        <v>445</v>
      </c>
      <c r="I116" t="s">
        <v>517</v>
      </c>
    </row>
    <row r="117" spans="1:9" x14ac:dyDescent="0.25">
      <c r="A117" s="14" t="s">
        <v>379</v>
      </c>
      <c r="B117" s="15" t="s">
        <v>380</v>
      </c>
      <c r="C117" s="15" t="s">
        <v>200</v>
      </c>
      <c r="D117" s="15" t="s">
        <v>378</v>
      </c>
      <c r="E117" s="15" t="s">
        <v>359</v>
      </c>
      <c r="F117" s="15" t="s">
        <v>178</v>
      </c>
      <c r="G117" s="16" t="s">
        <v>445</v>
      </c>
      <c r="H117" s="16" t="s">
        <v>445</v>
      </c>
      <c r="I117" t="s">
        <v>517</v>
      </c>
    </row>
    <row r="118" spans="1:9" x14ac:dyDescent="0.25">
      <c r="A118" s="14" t="s">
        <v>25</v>
      </c>
      <c r="B118" s="15" t="s">
        <v>377</v>
      </c>
      <c r="C118" s="15" t="s">
        <v>214</v>
      </c>
      <c r="D118" s="15" t="s">
        <v>378</v>
      </c>
      <c r="E118" s="15" t="s">
        <v>359</v>
      </c>
      <c r="F118" s="15" t="s">
        <v>178</v>
      </c>
      <c r="G118" s="16" t="s">
        <v>445</v>
      </c>
      <c r="H118" s="16" t="s">
        <v>445</v>
      </c>
      <c r="I118" t="s">
        <v>517</v>
      </c>
    </row>
    <row r="119" spans="1:9" x14ac:dyDescent="0.25">
      <c r="A119" s="14" t="s">
        <v>381</v>
      </c>
      <c r="B119" s="15" t="s">
        <v>484</v>
      </c>
      <c r="C119" s="15" t="s">
        <v>214</v>
      </c>
      <c r="D119" s="15" t="s">
        <v>378</v>
      </c>
      <c r="E119" s="15" t="s">
        <v>359</v>
      </c>
      <c r="F119" s="15" t="s">
        <v>178</v>
      </c>
      <c r="G119" s="16" t="s">
        <v>445</v>
      </c>
      <c r="H119" s="16" t="s">
        <v>445</v>
      </c>
      <c r="I119" t="s">
        <v>517</v>
      </c>
    </row>
    <row r="120" spans="1:9" x14ac:dyDescent="0.25">
      <c r="A120" s="14" t="s">
        <v>483</v>
      </c>
      <c r="B120" s="15" t="s">
        <v>485</v>
      </c>
      <c r="C120" s="15" t="s">
        <v>214</v>
      </c>
      <c r="D120" s="15" t="s">
        <v>378</v>
      </c>
      <c r="E120" s="15" t="s">
        <v>359</v>
      </c>
      <c r="F120" s="15" t="s">
        <v>178</v>
      </c>
      <c r="G120" s="16" t="s">
        <v>445</v>
      </c>
      <c r="H120" s="16" t="s">
        <v>445</v>
      </c>
      <c r="I120" t="s">
        <v>517</v>
      </c>
    </row>
    <row r="121" spans="1:9" x14ac:dyDescent="0.25">
      <c r="A121" s="14" t="s">
        <v>383</v>
      </c>
      <c r="B121" s="15" t="s">
        <v>384</v>
      </c>
      <c r="C121" s="15" t="s">
        <v>200</v>
      </c>
      <c r="D121" s="15" t="s">
        <v>385</v>
      </c>
      <c r="E121" s="15" t="s">
        <v>359</v>
      </c>
      <c r="F121" s="15" t="s">
        <v>371</v>
      </c>
      <c r="G121" s="16" t="s">
        <v>445</v>
      </c>
      <c r="H121" s="16" t="s">
        <v>445</v>
      </c>
      <c r="I121" t="s">
        <v>517</v>
      </c>
    </row>
    <row r="122" spans="1:9" x14ac:dyDescent="0.25">
      <c r="A122" s="14" t="s">
        <v>386</v>
      </c>
      <c r="B122" s="15" t="s">
        <v>387</v>
      </c>
      <c r="C122" s="15" t="s">
        <v>200</v>
      </c>
      <c r="D122" s="15" t="s">
        <v>385</v>
      </c>
      <c r="E122" s="15" t="s">
        <v>359</v>
      </c>
      <c r="F122" s="15" t="s">
        <v>371</v>
      </c>
      <c r="G122" s="16" t="s">
        <v>445</v>
      </c>
      <c r="H122" s="16" t="s">
        <v>445</v>
      </c>
      <c r="I122" t="s">
        <v>517</v>
      </c>
    </row>
    <row r="123" spans="1:9" x14ac:dyDescent="0.25">
      <c r="A123" s="14" t="s">
        <v>388</v>
      </c>
      <c r="B123" s="15" t="s">
        <v>389</v>
      </c>
      <c r="C123" s="15" t="s">
        <v>200</v>
      </c>
      <c r="D123" s="15" t="s">
        <v>385</v>
      </c>
      <c r="E123" s="15" t="s">
        <v>359</v>
      </c>
      <c r="F123" s="15" t="s">
        <v>371</v>
      </c>
      <c r="G123" s="16" t="s">
        <v>445</v>
      </c>
      <c r="H123" s="16" t="s">
        <v>445</v>
      </c>
      <c r="I123" t="s">
        <v>517</v>
      </c>
    </row>
    <row r="124" spans="1:9" x14ac:dyDescent="0.25">
      <c r="A124" s="14" t="s">
        <v>390</v>
      </c>
      <c r="B124" s="15" t="s">
        <v>391</v>
      </c>
      <c r="C124" s="15" t="s">
        <v>200</v>
      </c>
      <c r="D124" s="15" t="s">
        <v>359</v>
      </c>
      <c r="E124" s="15" t="s">
        <v>359</v>
      </c>
      <c r="F124" s="15" t="s">
        <v>371</v>
      </c>
      <c r="G124" s="16" t="s">
        <v>445</v>
      </c>
      <c r="H124" s="16" t="s">
        <v>445</v>
      </c>
      <c r="I124" t="s">
        <v>517</v>
      </c>
    </row>
    <row r="125" spans="1:9" x14ac:dyDescent="0.25">
      <c r="A125" s="14" t="s">
        <v>29</v>
      </c>
      <c r="B125" s="15" t="s">
        <v>361</v>
      </c>
      <c r="C125" s="15" t="s">
        <v>214</v>
      </c>
      <c r="D125" s="15" t="s">
        <v>358</v>
      </c>
      <c r="E125" s="15" t="s">
        <v>359</v>
      </c>
      <c r="F125" s="15" t="s">
        <v>178</v>
      </c>
      <c r="G125" s="16" t="s">
        <v>445</v>
      </c>
      <c r="H125" s="16" t="s">
        <v>445</v>
      </c>
      <c r="I125" t="s">
        <v>517</v>
      </c>
    </row>
    <row r="126" spans="1:9" x14ac:dyDescent="0.25">
      <c r="A126" s="14" t="s">
        <v>31</v>
      </c>
      <c r="B126" s="15" t="s">
        <v>357</v>
      </c>
      <c r="C126" s="15" t="s">
        <v>214</v>
      </c>
      <c r="D126" s="15" t="s">
        <v>358</v>
      </c>
      <c r="E126" s="15" t="s">
        <v>359</v>
      </c>
      <c r="F126" s="15" t="s">
        <v>178</v>
      </c>
      <c r="G126" s="16" t="s">
        <v>445</v>
      </c>
      <c r="H126" s="16" t="s">
        <v>445</v>
      </c>
      <c r="I126" t="s">
        <v>517</v>
      </c>
    </row>
    <row r="127" spans="1:9" x14ac:dyDescent="0.25">
      <c r="A127" s="14" t="s">
        <v>392</v>
      </c>
      <c r="B127" s="15" t="s">
        <v>393</v>
      </c>
      <c r="C127" s="15" t="s">
        <v>214</v>
      </c>
      <c r="D127" s="15" t="s">
        <v>358</v>
      </c>
      <c r="E127" s="15" t="s">
        <v>359</v>
      </c>
      <c r="F127" s="15" t="s">
        <v>178</v>
      </c>
      <c r="G127" s="16" t="s">
        <v>445</v>
      </c>
      <c r="H127" s="16" t="s">
        <v>445</v>
      </c>
      <c r="I127" t="s">
        <v>517</v>
      </c>
    </row>
    <row r="128" spans="1:9" x14ac:dyDescent="0.25">
      <c r="A128" s="14" t="s">
        <v>394</v>
      </c>
      <c r="B128" s="15" t="s">
        <v>394</v>
      </c>
      <c r="C128" s="15" t="s">
        <v>214</v>
      </c>
      <c r="D128" s="15" t="s">
        <v>385</v>
      </c>
      <c r="E128" s="15" t="s">
        <v>359</v>
      </c>
      <c r="F128" s="15" t="s">
        <v>178</v>
      </c>
      <c r="G128" s="16" t="s">
        <v>445</v>
      </c>
      <c r="H128" s="16" t="s">
        <v>445</v>
      </c>
      <c r="I128" t="s">
        <v>517</v>
      </c>
    </row>
    <row r="129" spans="1:9" x14ac:dyDescent="0.25">
      <c r="A129" s="14" t="s">
        <v>38</v>
      </c>
      <c r="B129" s="15" t="s">
        <v>363</v>
      </c>
      <c r="C129" s="15" t="s">
        <v>214</v>
      </c>
      <c r="D129" s="15" t="s">
        <v>168</v>
      </c>
      <c r="E129" s="15" t="s">
        <v>359</v>
      </c>
      <c r="F129" s="15" t="s">
        <v>178</v>
      </c>
      <c r="G129" s="16" t="s">
        <v>445</v>
      </c>
      <c r="H129" s="16" t="s">
        <v>445</v>
      </c>
      <c r="I129" t="s">
        <v>517</v>
      </c>
    </row>
    <row r="130" spans="1:9" x14ac:dyDescent="0.25">
      <c r="A130" s="14" t="s">
        <v>395</v>
      </c>
      <c r="B130" s="15" t="s">
        <v>365</v>
      </c>
      <c r="C130" s="15" t="s">
        <v>214</v>
      </c>
      <c r="D130" s="15" t="s">
        <v>168</v>
      </c>
      <c r="E130" s="15" t="s">
        <v>359</v>
      </c>
      <c r="F130" s="15" t="s">
        <v>178</v>
      </c>
      <c r="G130" s="16" t="s">
        <v>445</v>
      </c>
      <c r="H130" s="16" t="s">
        <v>445</v>
      </c>
      <c r="I130" t="s">
        <v>517</v>
      </c>
    </row>
    <row r="131" spans="1:9" x14ac:dyDescent="0.25">
      <c r="A131" s="14" t="s">
        <v>36</v>
      </c>
      <c r="B131" s="15" t="s">
        <v>367</v>
      </c>
      <c r="C131" s="15" t="s">
        <v>214</v>
      </c>
      <c r="D131" s="15" t="s">
        <v>168</v>
      </c>
      <c r="E131" s="15" t="s">
        <v>359</v>
      </c>
      <c r="F131" s="15" t="s">
        <v>178</v>
      </c>
      <c r="G131" s="16" t="s">
        <v>445</v>
      </c>
      <c r="H131" s="16" t="s">
        <v>445</v>
      </c>
      <c r="I131" t="s">
        <v>517</v>
      </c>
    </row>
    <row r="132" spans="1:9" x14ac:dyDescent="0.25">
      <c r="A132" s="14" t="s">
        <v>14</v>
      </c>
      <c r="B132" s="15" t="s">
        <v>369</v>
      </c>
      <c r="C132" s="15" t="s">
        <v>214</v>
      </c>
      <c r="D132" s="15" t="s">
        <v>370</v>
      </c>
      <c r="E132" s="15" t="s">
        <v>359</v>
      </c>
      <c r="F132" s="15" t="s">
        <v>371</v>
      </c>
      <c r="G132" s="16" t="s">
        <v>445</v>
      </c>
      <c r="H132" s="16" t="s">
        <v>445</v>
      </c>
      <c r="I132" t="s">
        <v>517</v>
      </c>
    </row>
    <row r="133" spans="1:9" x14ac:dyDescent="0.25">
      <c r="A133" s="14" t="s">
        <v>17</v>
      </c>
      <c r="B133" s="15" t="s">
        <v>373</v>
      </c>
      <c r="C133" s="15" t="s">
        <v>214</v>
      </c>
      <c r="D133" s="15" t="s">
        <v>370</v>
      </c>
      <c r="E133" s="15" t="s">
        <v>359</v>
      </c>
      <c r="F133" s="15" t="s">
        <v>371</v>
      </c>
      <c r="G133" s="16" t="s">
        <v>445</v>
      </c>
      <c r="H133" s="16" t="s">
        <v>445</v>
      </c>
      <c r="I133" t="s">
        <v>517</v>
      </c>
    </row>
    <row r="134" spans="1:9" x14ac:dyDescent="0.25">
      <c r="A134" s="14" t="s">
        <v>9</v>
      </c>
      <c r="B134" s="15" t="s">
        <v>375</v>
      </c>
      <c r="C134" s="15" t="s">
        <v>214</v>
      </c>
      <c r="D134" s="15" t="s">
        <v>370</v>
      </c>
      <c r="E134" s="15" t="s">
        <v>359</v>
      </c>
      <c r="F134" s="15" t="s">
        <v>371</v>
      </c>
      <c r="G134" s="16" t="s">
        <v>445</v>
      </c>
      <c r="H134" s="16" t="s">
        <v>445</v>
      </c>
      <c r="I134" t="s">
        <v>517</v>
      </c>
    </row>
    <row r="135" spans="1:9" x14ac:dyDescent="0.25">
      <c r="A135" s="14" t="s">
        <v>46</v>
      </c>
      <c r="B135" s="15" t="s">
        <v>389</v>
      </c>
      <c r="C135" s="15" t="s">
        <v>214</v>
      </c>
      <c r="D135" s="15" t="s">
        <v>385</v>
      </c>
      <c r="E135" s="15" t="s">
        <v>359</v>
      </c>
      <c r="F135" s="15" t="s">
        <v>371</v>
      </c>
      <c r="G135" s="16" t="s">
        <v>445</v>
      </c>
      <c r="H135" s="16" t="s">
        <v>445</v>
      </c>
      <c r="I135" t="s">
        <v>517</v>
      </c>
    </row>
    <row r="136" spans="1:9" x14ac:dyDescent="0.25">
      <c r="A136" s="14" t="s">
        <v>48</v>
      </c>
      <c r="B136" s="15" t="s">
        <v>384</v>
      </c>
      <c r="C136" s="15" t="s">
        <v>214</v>
      </c>
      <c r="D136" s="15" t="s">
        <v>385</v>
      </c>
      <c r="E136" s="15" t="s">
        <v>359</v>
      </c>
      <c r="F136" s="15" t="s">
        <v>371</v>
      </c>
      <c r="G136" s="16" t="s">
        <v>445</v>
      </c>
      <c r="H136" s="16" t="s">
        <v>445</v>
      </c>
      <c r="I136" t="s">
        <v>517</v>
      </c>
    </row>
    <row r="137" spans="1:9" x14ac:dyDescent="0.25">
      <c r="A137" s="14" t="s">
        <v>50</v>
      </c>
      <c r="B137" s="15" t="s">
        <v>387</v>
      </c>
      <c r="C137" s="15" t="s">
        <v>214</v>
      </c>
      <c r="D137" s="15" t="s">
        <v>385</v>
      </c>
      <c r="E137" s="15" t="s">
        <v>359</v>
      </c>
      <c r="F137" s="15" t="s">
        <v>371</v>
      </c>
      <c r="G137" s="16" t="s">
        <v>445</v>
      </c>
      <c r="H137" s="16" t="s">
        <v>445</v>
      </c>
      <c r="I137" t="s">
        <v>517</v>
      </c>
    </row>
    <row r="138" spans="1:9" x14ac:dyDescent="0.25">
      <c r="A138" s="14" t="s">
        <v>396</v>
      </c>
      <c r="B138" s="15" t="s">
        <v>391</v>
      </c>
      <c r="C138" s="15" t="s">
        <v>214</v>
      </c>
      <c r="D138" s="15" t="s">
        <v>359</v>
      </c>
      <c r="E138" s="15" t="s">
        <v>359</v>
      </c>
      <c r="F138" s="15" t="s">
        <v>371</v>
      </c>
      <c r="G138" s="16" t="s">
        <v>445</v>
      </c>
      <c r="H138" s="16" t="s">
        <v>445</v>
      </c>
      <c r="I138" t="s">
        <v>517</v>
      </c>
    </row>
    <row r="139" spans="1:9" x14ac:dyDescent="0.25">
      <c r="A139" s="14" t="s">
        <v>397</v>
      </c>
      <c r="B139" s="15" t="s">
        <v>398</v>
      </c>
      <c r="C139" s="15" t="s">
        <v>214</v>
      </c>
      <c r="D139" s="15" t="s">
        <v>399</v>
      </c>
      <c r="E139" s="15" t="s">
        <v>359</v>
      </c>
      <c r="F139" s="15" t="s">
        <v>178</v>
      </c>
      <c r="G139" s="16" t="s">
        <v>445</v>
      </c>
      <c r="H139" s="16" t="s">
        <v>445</v>
      </c>
      <c r="I139" t="s">
        <v>517</v>
      </c>
    </row>
    <row r="140" spans="1:9" x14ac:dyDescent="0.25">
      <c r="A140" s="14" t="s">
        <v>40</v>
      </c>
      <c r="B140" s="15" t="s">
        <v>448</v>
      </c>
      <c r="C140" s="15" t="s">
        <v>214</v>
      </c>
      <c r="D140" s="15" t="s">
        <v>385</v>
      </c>
      <c r="E140" s="15" t="s">
        <v>359</v>
      </c>
      <c r="F140" s="15" t="s">
        <v>178</v>
      </c>
      <c r="G140" s="16" t="s">
        <v>445</v>
      </c>
      <c r="H140" s="16" t="s">
        <v>445</v>
      </c>
      <c r="I140" t="s">
        <v>517</v>
      </c>
    </row>
  </sheetData>
  <autoFilter ref="A1:H140" xr:uid="{6672FD93-1D25-48C3-994D-611C8D07EACB}">
    <sortState xmlns:xlrd2="http://schemas.microsoft.com/office/spreadsheetml/2017/richdata2" ref="A2:H140">
      <sortCondition ref="E1:E1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D76C-9166-4BB2-94B7-B18CA875D5FD}">
  <dimension ref="A1:H82"/>
  <sheetViews>
    <sheetView topLeftCell="A6" workbookViewId="0">
      <selection activeCell="B20" sqref="B20"/>
    </sheetView>
  </sheetViews>
  <sheetFormatPr defaultRowHeight="15" x14ac:dyDescent="0.25"/>
  <cols>
    <col min="1" max="1" width="7.42578125" bestFit="1" customWidth="1"/>
    <col min="2" max="2" width="26.85546875" bestFit="1" customWidth="1"/>
    <col min="3" max="3" width="10.140625" bestFit="1" customWidth="1"/>
    <col min="4" max="4" width="24.42578125" bestFit="1" customWidth="1"/>
    <col min="5" max="5" width="16.85546875" bestFit="1" customWidth="1"/>
    <col min="6" max="6" width="10.28515625" bestFit="1" customWidth="1"/>
    <col min="7" max="7" width="20.85546875" bestFit="1" customWidth="1"/>
    <col min="8" max="8" width="27.42578125" bestFit="1" customWidth="1"/>
  </cols>
  <sheetData>
    <row r="1" spans="1:8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54</v>
      </c>
    </row>
    <row r="2" spans="1:8" x14ac:dyDescent="0.25">
      <c r="A2" s="12">
        <v>524</v>
      </c>
      <c r="B2" s="12" t="s">
        <v>86</v>
      </c>
      <c r="C2" s="12" t="s">
        <v>84</v>
      </c>
      <c r="D2" s="12" t="s">
        <v>86</v>
      </c>
      <c r="E2" s="12" t="s">
        <v>20</v>
      </c>
      <c r="F2" s="12" t="s">
        <v>21</v>
      </c>
      <c r="G2" s="12" t="s">
        <v>92</v>
      </c>
      <c r="H2" s="12" t="s">
        <v>87</v>
      </c>
    </row>
    <row r="3" spans="1:8" x14ac:dyDescent="0.25">
      <c r="A3" s="12">
        <v>1102</v>
      </c>
      <c r="B3" s="12" t="s">
        <v>19</v>
      </c>
      <c r="C3" s="12" t="str">
        <f t="shared" ref="C3:C14" si="0">RIGHT(B3,2)</f>
        <v>NJ</v>
      </c>
      <c r="D3" s="12" t="s">
        <v>19</v>
      </c>
      <c r="E3" s="12" t="s">
        <v>20</v>
      </c>
      <c r="F3" s="12" t="s">
        <v>21</v>
      </c>
      <c r="G3" s="12" t="s">
        <v>12</v>
      </c>
      <c r="H3" s="12" t="s">
        <v>69</v>
      </c>
    </row>
    <row r="4" spans="1:8" x14ac:dyDescent="0.25">
      <c r="A4" s="12">
        <v>1108</v>
      </c>
      <c r="B4" s="12" t="s">
        <v>22</v>
      </c>
      <c r="C4" s="12" t="str">
        <f t="shared" si="0"/>
        <v>NJ</v>
      </c>
      <c r="D4" s="12" t="s">
        <v>22</v>
      </c>
      <c r="E4" s="12" t="s">
        <v>20</v>
      </c>
      <c r="F4" s="12" t="s">
        <v>21</v>
      </c>
      <c r="G4" s="12" t="s">
        <v>15</v>
      </c>
      <c r="H4" s="12" t="s">
        <v>67</v>
      </c>
    </row>
    <row r="5" spans="1:8" x14ac:dyDescent="0.25">
      <c r="A5" s="12">
        <v>1114</v>
      </c>
      <c r="B5" s="12" t="s">
        <v>23</v>
      </c>
      <c r="C5" s="12" t="str">
        <f t="shared" si="0"/>
        <v>NJ</v>
      </c>
      <c r="D5" s="12" t="s">
        <v>23</v>
      </c>
      <c r="E5" s="12" t="s">
        <v>20</v>
      </c>
      <c r="F5" s="12" t="s">
        <v>21</v>
      </c>
      <c r="G5" s="12" t="s">
        <v>18</v>
      </c>
      <c r="H5" s="12" t="s">
        <v>68</v>
      </c>
    </row>
    <row r="6" spans="1:8" x14ac:dyDescent="0.25">
      <c r="A6" s="12">
        <v>1569</v>
      </c>
      <c r="B6" s="12" t="s">
        <v>27</v>
      </c>
      <c r="C6" s="12" t="str">
        <f t="shared" si="0"/>
        <v>OH</v>
      </c>
      <c r="D6" s="12" t="s">
        <v>27</v>
      </c>
      <c r="E6" s="12" t="s">
        <v>20</v>
      </c>
      <c r="F6" s="12" t="s">
        <v>21</v>
      </c>
      <c r="G6" s="12" t="s">
        <v>26</v>
      </c>
      <c r="H6" s="12" t="s">
        <v>70</v>
      </c>
    </row>
    <row r="7" spans="1:8" x14ac:dyDescent="0.25">
      <c r="A7" s="12">
        <v>1098</v>
      </c>
      <c r="B7" s="12" t="s">
        <v>33</v>
      </c>
      <c r="C7" s="12" t="str">
        <f t="shared" si="0"/>
        <v>DC</v>
      </c>
      <c r="D7" s="12" t="s">
        <v>33</v>
      </c>
      <c r="E7" s="12" t="s">
        <v>20</v>
      </c>
      <c r="F7" s="12" t="s">
        <v>21</v>
      </c>
      <c r="G7" s="12" t="s">
        <v>12</v>
      </c>
      <c r="H7" s="12" t="s">
        <v>55</v>
      </c>
    </row>
    <row r="8" spans="1:8" x14ac:dyDescent="0.25">
      <c r="A8" s="12">
        <v>1104</v>
      </c>
      <c r="B8" s="12" t="s">
        <v>34</v>
      </c>
      <c r="C8" s="12" t="str">
        <f t="shared" si="0"/>
        <v>DC</v>
      </c>
      <c r="D8" s="12" t="s">
        <v>34</v>
      </c>
      <c r="E8" s="12" t="s">
        <v>20</v>
      </c>
      <c r="F8" s="12" t="s">
        <v>21</v>
      </c>
      <c r="G8" s="12" t="s">
        <v>32</v>
      </c>
      <c r="H8" s="12" t="s">
        <v>56</v>
      </c>
    </row>
    <row r="9" spans="1:8" x14ac:dyDescent="0.25">
      <c r="A9" s="12">
        <v>1101</v>
      </c>
      <c r="B9" s="12" t="s">
        <v>42</v>
      </c>
      <c r="C9" s="12" t="str">
        <f t="shared" si="0"/>
        <v>MD</v>
      </c>
      <c r="D9" s="12" t="s">
        <v>42</v>
      </c>
      <c r="E9" s="12" t="s">
        <v>20</v>
      </c>
      <c r="F9" s="12" t="s">
        <v>21</v>
      </c>
      <c r="G9" s="12" t="s">
        <v>12</v>
      </c>
      <c r="H9" s="12" t="s">
        <v>74</v>
      </c>
    </row>
    <row r="10" spans="1:8" x14ac:dyDescent="0.25">
      <c r="A10" s="12">
        <v>1107</v>
      </c>
      <c r="B10" s="12" t="s">
        <v>43</v>
      </c>
      <c r="C10" s="12" t="str">
        <f t="shared" si="0"/>
        <v>MD</v>
      </c>
      <c r="D10" s="12" t="s">
        <v>43</v>
      </c>
      <c r="E10" s="12" t="s">
        <v>20</v>
      </c>
      <c r="F10" s="12" t="s">
        <v>21</v>
      </c>
      <c r="G10" s="12" t="s">
        <v>32</v>
      </c>
      <c r="H10" s="12" t="s">
        <v>75</v>
      </c>
    </row>
    <row r="11" spans="1:8" x14ac:dyDescent="0.25">
      <c r="A11" s="12">
        <v>1113</v>
      </c>
      <c r="B11" s="12" t="s">
        <v>44</v>
      </c>
      <c r="C11" s="12" t="str">
        <f t="shared" si="0"/>
        <v>MD</v>
      </c>
      <c r="D11" s="12" t="s">
        <v>44</v>
      </c>
      <c r="E11" s="12" t="s">
        <v>20</v>
      </c>
      <c r="F11" s="12" t="s">
        <v>21</v>
      </c>
      <c r="G11" s="12" t="s">
        <v>41</v>
      </c>
      <c r="H11" s="12" t="s">
        <v>76</v>
      </c>
    </row>
    <row r="12" spans="1:8" x14ac:dyDescent="0.25">
      <c r="A12" s="12">
        <v>1103</v>
      </c>
      <c r="B12" s="12" t="s">
        <v>51</v>
      </c>
      <c r="C12" s="12" t="str">
        <f t="shared" si="0"/>
        <v>PA</v>
      </c>
      <c r="D12" s="12" t="s">
        <v>51</v>
      </c>
      <c r="E12" s="12" t="s">
        <v>20</v>
      </c>
      <c r="F12" s="12" t="s">
        <v>21</v>
      </c>
      <c r="G12" s="12" t="s">
        <v>12</v>
      </c>
      <c r="H12" s="12" t="s">
        <v>71</v>
      </c>
    </row>
    <row r="13" spans="1:8" x14ac:dyDescent="0.25">
      <c r="A13" s="12">
        <v>1109</v>
      </c>
      <c r="B13" s="12" t="s">
        <v>52</v>
      </c>
      <c r="C13" s="12" t="str">
        <f t="shared" si="0"/>
        <v>PA</v>
      </c>
      <c r="D13" s="12" t="s">
        <v>52</v>
      </c>
      <c r="E13" s="12" t="s">
        <v>20</v>
      </c>
      <c r="F13" s="12" t="s">
        <v>21</v>
      </c>
      <c r="G13" s="12" t="s">
        <v>32</v>
      </c>
      <c r="H13" s="12" t="s">
        <v>72</v>
      </c>
    </row>
    <row r="14" spans="1:8" x14ac:dyDescent="0.25">
      <c r="A14" s="12">
        <v>1115</v>
      </c>
      <c r="B14" s="12" t="s">
        <v>53</v>
      </c>
      <c r="C14" s="12" t="str">
        <f t="shared" si="0"/>
        <v>PA</v>
      </c>
      <c r="D14" s="12" t="s">
        <v>53</v>
      </c>
      <c r="E14" s="12" t="s">
        <v>20</v>
      </c>
      <c r="F14" s="12" t="s">
        <v>21</v>
      </c>
      <c r="G14" s="12" t="s">
        <v>41</v>
      </c>
      <c r="H14" s="12" t="s">
        <v>73</v>
      </c>
    </row>
    <row r="15" spans="1:8" x14ac:dyDescent="0.25">
      <c r="A15" s="12">
        <v>759</v>
      </c>
      <c r="B15" s="12" t="s">
        <v>89</v>
      </c>
      <c r="C15" s="12" t="s">
        <v>90</v>
      </c>
      <c r="D15" s="12" t="s">
        <v>89</v>
      </c>
      <c r="E15" s="12" t="s">
        <v>20</v>
      </c>
      <c r="F15" s="12" t="s">
        <v>21</v>
      </c>
      <c r="G15" s="12" t="s">
        <v>32</v>
      </c>
      <c r="H15" s="12" t="s">
        <v>91</v>
      </c>
    </row>
    <row r="16" spans="1:8" x14ac:dyDescent="0.25">
      <c r="A16" s="12">
        <v>658</v>
      </c>
      <c r="B16" s="12" t="s">
        <v>97</v>
      </c>
      <c r="C16" s="12" t="s">
        <v>96</v>
      </c>
      <c r="D16" s="12" t="s">
        <v>97</v>
      </c>
      <c r="E16" s="12" t="s">
        <v>20</v>
      </c>
      <c r="F16" s="12" t="s">
        <v>21</v>
      </c>
      <c r="G16" s="12" t="s">
        <v>15</v>
      </c>
      <c r="H16" s="12" t="s">
        <v>147</v>
      </c>
    </row>
    <row r="17" spans="1:8" x14ac:dyDescent="0.25">
      <c r="A17" s="12">
        <v>661</v>
      </c>
      <c r="B17" s="12" t="s">
        <v>98</v>
      </c>
      <c r="C17" s="12" t="s">
        <v>96</v>
      </c>
      <c r="D17" s="12" t="s">
        <v>98</v>
      </c>
      <c r="E17" s="12" t="s">
        <v>20</v>
      </c>
      <c r="F17" s="12" t="s">
        <v>21</v>
      </c>
      <c r="G17" s="12" t="s">
        <v>18</v>
      </c>
      <c r="H17" s="12" t="s">
        <v>148</v>
      </c>
    </row>
    <row r="18" spans="1:8" x14ac:dyDescent="0.25">
      <c r="A18" s="12">
        <v>664</v>
      </c>
      <c r="B18" s="12" t="s">
        <v>99</v>
      </c>
      <c r="C18" s="12" t="s">
        <v>96</v>
      </c>
      <c r="D18" s="12" t="s">
        <v>99</v>
      </c>
      <c r="E18" s="12" t="s">
        <v>20</v>
      </c>
      <c r="F18" s="12" t="s">
        <v>21</v>
      </c>
      <c r="G18" s="12" t="s">
        <v>127</v>
      </c>
      <c r="H18" s="12" t="s">
        <v>149</v>
      </c>
    </row>
    <row r="19" spans="1:8" x14ac:dyDescent="0.25">
      <c r="A19" s="12">
        <v>2298</v>
      </c>
      <c r="B19" s="12" t="s">
        <v>103</v>
      </c>
      <c r="C19" s="12" t="s">
        <v>102</v>
      </c>
      <c r="D19" s="12" t="s">
        <v>103</v>
      </c>
      <c r="E19" s="12" t="s">
        <v>20</v>
      </c>
      <c r="F19" s="12" t="s">
        <v>21</v>
      </c>
      <c r="G19" s="12" t="s">
        <v>15</v>
      </c>
      <c r="H19" s="12" t="s">
        <v>150</v>
      </c>
    </row>
    <row r="20" spans="1:8" x14ac:dyDescent="0.25">
      <c r="A20" s="12">
        <v>2300</v>
      </c>
      <c r="B20" s="12" t="s">
        <v>104</v>
      </c>
      <c r="C20" s="12" t="s">
        <v>102</v>
      </c>
      <c r="D20" s="12" t="s">
        <v>104</v>
      </c>
      <c r="E20" s="12" t="s">
        <v>20</v>
      </c>
      <c r="F20" s="12" t="s">
        <v>21</v>
      </c>
      <c r="G20" s="12" t="s">
        <v>18</v>
      </c>
      <c r="H20" s="12" t="s">
        <v>151</v>
      </c>
    </row>
    <row r="21" spans="1:8" x14ac:dyDescent="0.25">
      <c r="A21" s="12">
        <v>660</v>
      </c>
      <c r="B21" s="12" t="s">
        <v>105</v>
      </c>
      <c r="C21" s="12" t="s">
        <v>111</v>
      </c>
      <c r="D21" s="12" t="s">
        <v>105</v>
      </c>
      <c r="E21" s="12" t="s">
        <v>20</v>
      </c>
      <c r="F21" s="12" t="s">
        <v>21</v>
      </c>
      <c r="G21" s="12" t="s">
        <v>15</v>
      </c>
      <c r="H21" s="12" t="s">
        <v>152</v>
      </c>
    </row>
    <row r="22" spans="1:8" x14ac:dyDescent="0.25">
      <c r="A22" s="12">
        <v>663</v>
      </c>
      <c r="B22" s="12" t="s">
        <v>106</v>
      </c>
      <c r="C22" s="12" t="s">
        <v>111</v>
      </c>
      <c r="D22" s="12" t="s">
        <v>106</v>
      </c>
      <c r="E22" s="12" t="s">
        <v>20</v>
      </c>
      <c r="F22" s="12" t="s">
        <v>21</v>
      </c>
      <c r="G22" s="12" t="s">
        <v>18</v>
      </c>
      <c r="H22" s="12" t="s">
        <v>153</v>
      </c>
    </row>
    <row r="23" spans="1:8" x14ac:dyDescent="0.25">
      <c r="A23" s="12">
        <v>666</v>
      </c>
      <c r="B23" s="12" t="s">
        <v>107</v>
      </c>
      <c r="C23" s="12" t="s">
        <v>111</v>
      </c>
      <c r="D23" s="12" t="s">
        <v>107</v>
      </c>
      <c r="E23" s="12" t="s">
        <v>20</v>
      </c>
      <c r="F23" s="12" t="s">
        <v>21</v>
      </c>
      <c r="G23" s="12" t="s">
        <v>109</v>
      </c>
      <c r="H23" s="12" t="s">
        <v>154</v>
      </c>
    </row>
    <row r="24" spans="1:8" x14ac:dyDescent="0.25">
      <c r="A24" s="12">
        <v>1168</v>
      </c>
      <c r="B24" s="12" t="s">
        <v>108</v>
      </c>
      <c r="C24" s="12" t="s">
        <v>111</v>
      </c>
      <c r="D24" s="12" t="s">
        <v>108</v>
      </c>
      <c r="E24" s="12" t="s">
        <v>20</v>
      </c>
      <c r="F24" s="12" t="s">
        <v>21</v>
      </c>
      <c r="G24" s="12" t="s">
        <v>110</v>
      </c>
      <c r="H24" s="12" t="s">
        <v>155</v>
      </c>
    </row>
    <row r="25" spans="1:8" x14ac:dyDescent="0.25">
      <c r="A25" s="12">
        <v>1171</v>
      </c>
      <c r="B25" s="12" t="s">
        <v>471</v>
      </c>
      <c r="C25" s="12" t="s">
        <v>111</v>
      </c>
      <c r="D25" s="12" t="s">
        <v>471</v>
      </c>
      <c r="E25" s="12" t="s">
        <v>20</v>
      </c>
      <c r="F25" s="12" t="s">
        <v>21</v>
      </c>
      <c r="G25" s="12" t="s">
        <v>127</v>
      </c>
      <c r="H25" s="12" t="s">
        <v>472</v>
      </c>
    </row>
    <row r="26" spans="1:8" x14ac:dyDescent="0.25">
      <c r="A26" s="12">
        <v>2297</v>
      </c>
      <c r="B26" s="12" t="s">
        <v>116</v>
      </c>
      <c r="C26" s="12" t="s">
        <v>125</v>
      </c>
      <c r="D26" s="12" t="s">
        <v>116</v>
      </c>
      <c r="E26" s="12" t="s">
        <v>20</v>
      </c>
      <c r="F26" s="12" t="s">
        <v>21</v>
      </c>
      <c r="G26" s="12" t="s">
        <v>15</v>
      </c>
      <c r="H26" s="12" t="s">
        <v>156</v>
      </c>
    </row>
    <row r="27" spans="1:8" x14ac:dyDescent="0.25">
      <c r="A27" s="12">
        <v>2299</v>
      </c>
      <c r="B27" s="12" t="s">
        <v>118</v>
      </c>
      <c r="C27" s="12" t="s">
        <v>125</v>
      </c>
      <c r="D27" s="12" t="s">
        <v>118</v>
      </c>
      <c r="E27" s="12" t="s">
        <v>20</v>
      </c>
      <c r="F27" s="12" t="s">
        <v>21</v>
      </c>
      <c r="G27" s="12" t="s">
        <v>18</v>
      </c>
      <c r="H27" s="12" t="s">
        <v>157</v>
      </c>
    </row>
    <row r="28" spans="1:8" x14ac:dyDescent="0.25">
      <c r="A28" s="12">
        <v>2301</v>
      </c>
      <c r="B28" s="12" t="s">
        <v>119</v>
      </c>
      <c r="C28" s="12" t="s">
        <v>125</v>
      </c>
      <c r="D28" s="12" t="s">
        <v>119</v>
      </c>
      <c r="E28" s="12" t="s">
        <v>20</v>
      </c>
      <c r="F28" s="12" t="s">
        <v>21</v>
      </c>
      <c r="G28" s="12" t="s">
        <v>127</v>
      </c>
      <c r="H28" s="12" t="s">
        <v>158</v>
      </c>
    </row>
    <row r="29" spans="1:8" x14ac:dyDescent="0.25">
      <c r="A29" s="12">
        <v>2307</v>
      </c>
      <c r="B29" s="12" t="s">
        <v>120</v>
      </c>
      <c r="C29" s="12" t="s">
        <v>125</v>
      </c>
      <c r="D29" s="12" t="s">
        <v>120</v>
      </c>
      <c r="E29" s="12" t="s">
        <v>20</v>
      </c>
      <c r="F29" s="12" t="s">
        <v>21</v>
      </c>
      <c r="G29" s="12" t="s">
        <v>128</v>
      </c>
      <c r="H29" s="12" t="s">
        <v>159</v>
      </c>
    </row>
    <row r="30" spans="1:8" x14ac:dyDescent="0.25">
      <c r="A30" s="12">
        <v>2309</v>
      </c>
      <c r="B30" s="12" t="s">
        <v>117</v>
      </c>
      <c r="C30" s="12" t="s">
        <v>125</v>
      </c>
      <c r="D30" s="12" t="s">
        <v>117</v>
      </c>
      <c r="E30" s="12" t="s">
        <v>20</v>
      </c>
      <c r="F30" s="12" t="s">
        <v>21</v>
      </c>
      <c r="G30" s="12" t="s">
        <v>126</v>
      </c>
      <c r="H30" s="12" t="s">
        <v>160</v>
      </c>
    </row>
    <row r="31" spans="1:8" x14ac:dyDescent="0.25">
      <c r="A31" s="12">
        <v>659</v>
      </c>
      <c r="B31" s="12" t="s">
        <v>133</v>
      </c>
      <c r="C31" s="12" t="s">
        <v>142</v>
      </c>
      <c r="D31" s="12" t="s">
        <v>133</v>
      </c>
      <c r="E31" s="12" t="s">
        <v>20</v>
      </c>
      <c r="F31" s="12" t="s">
        <v>21</v>
      </c>
      <c r="G31" s="12" t="s">
        <v>15</v>
      </c>
      <c r="H31" s="12" t="s">
        <v>161</v>
      </c>
    </row>
    <row r="32" spans="1:8" x14ac:dyDescent="0.25">
      <c r="A32" s="12">
        <v>662</v>
      </c>
      <c r="B32" s="12" t="s">
        <v>134</v>
      </c>
      <c r="C32" s="12" t="s">
        <v>142</v>
      </c>
      <c r="D32" s="12" t="s">
        <v>134</v>
      </c>
      <c r="E32" s="12" t="s">
        <v>20</v>
      </c>
      <c r="F32" s="12" t="s">
        <v>21</v>
      </c>
      <c r="G32" s="12" t="s">
        <v>143</v>
      </c>
      <c r="H32" s="12" t="s">
        <v>162</v>
      </c>
    </row>
    <row r="33" spans="1:8" x14ac:dyDescent="0.25">
      <c r="A33" s="12">
        <v>665</v>
      </c>
      <c r="B33" s="12" t="s">
        <v>135</v>
      </c>
      <c r="C33" s="12" t="s">
        <v>142</v>
      </c>
      <c r="D33" s="12" t="s">
        <v>135</v>
      </c>
      <c r="E33" s="12" t="s">
        <v>20</v>
      </c>
      <c r="F33" s="12" t="s">
        <v>21</v>
      </c>
      <c r="G33" s="12" t="s">
        <v>18</v>
      </c>
      <c r="H33" s="12" t="s">
        <v>163</v>
      </c>
    </row>
    <row r="34" spans="1:8" x14ac:dyDescent="0.25">
      <c r="A34" s="12">
        <v>1167</v>
      </c>
      <c r="B34" s="12" t="s">
        <v>138</v>
      </c>
      <c r="C34" s="12" t="s">
        <v>142</v>
      </c>
      <c r="D34" s="12" t="s">
        <v>138</v>
      </c>
      <c r="E34" s="12" t="s">
        <v>20</v>
      </c>
      <c r="F34" s="12" t="s">
        <v>21</v>
      </c>
      <c r="G34" s="12" t="s">
        <v>144</v>
      </c>
      <c r="H34" s="12" t="s">
        <v>164</v>
      </c>
    </row>
    <row r="35" spans="1:8" x14ac:dyDescent="0.25">
      <c r="A35" s="12">
        <v>1170</v>
      </c>
      <c r="B35" s="12" t="s">
        <v>139</v>
      </c>
      <c r="C35" s="12" t="s">
        <v>142</v>
      </c>
      <c r="D35" s="12" t="s">
        <v>139</v>
      </c>
      <c r="E35" s="12" t="s">
        <v>20</v>
      </c>
      <c r="F35" s="12" t="s">
        <v>21</v>
      </c>
      <c r="G35" s="12" t="s">
        <v>145</v>
      </c>
      <c r="H35" s="12" t="s">
        <v>165</v>
      </c>
    </row>
    <row r="36" spans="1:8" x14ac:dyDescent="0.25">
      <c r="A36" s="12">
        <v>2701</v>
      </c>
      <c r="B36" s="12" t="s">
        <v>140</v>
      </c>
      <c r="C36" s="12" t="s">
        <v>142</v>
      </c>
      <c r="D36" s="12" t="s">
        <v>140</v>
      </c>
      <c r="E36" s="12" t="s">
        <v>20</v>
      </c>
      <c r="F36" s="12" t="s">
        <v>21</v>
      </c>
      <c r="G36" s="12" t="s">
        <v>146</v>
      </c>
      <c r="H36" s="12" t="s">
        <v>166</v>
      </c>
    </row>
    <row r="37" spans="1:8" x14ac:dyDescent="0.25">
      <c r="A37" s="12">
        <v>1191</v>
      </c>
      <c r="B37" s="12" t="s">
        <v>167</v>
      </c>
      <c r="C37" s="12" t="s">
        <v>168</v>
      </c>
      <c r="D37" s="12" t="s">
        <v>167</v>
      </c>
      <c r="E37" s="12" t="s">
        <v>20</v>
      </c>
      <c r="F37" s="12" t="s">
        <v>21</v>
      </c>
      <c r="G37" s="12" t="s">
        <v>170</v>
      </c>
      <c r="H37" s="12" t="s">
        <v>77</v>
      </c>
    </row>
    <row r="38" spans="1:8" x14ac:dyDescent="0.25">
      <c r="A38" s="12">
        <v>2821</v>
      </c>
      <c r="B38" s="12" t="s">
        <v>180</v>
      </c>
      <c r="C38" s="12" t="s">
        <v>190</v>
      </c>
      <c r="D38" s="12" t="s">
        <v>180</v>
      </c>
      <c r="E38" s="12" t="s">
        <v>20</v>
      </c>
      <c r="F38" s="12" t="s">
        <v>21</v>
      </c>
      <c r="G38" s="12" t="s">
        <v>185</v>
      </c>
      <c r="H38" s="12" t="s">
        <v>185</v>
      </c>
    </row>
    <row r="39" spans="1:8" x14ac:dyDescent="0.25">
      <c r="A39" s="12">
        <v>2822</v>
      </c>
      <c r="B39" s="12" t="s">
        <v>181</v>
      </c>
      <c r="C39" s="12" t="s">
        <v>190</v>
      </c>
      <c r="D39" s="12" t="s">
        <v>181</v>
      </c>
      <c r="E39" s="12" t="s">
        <v>20</v>
      </c>
      <c r="F39" s="12" t="s">
        <v>21</v>
      </c>
      <c r="G39" s="12" t="s">
        <v>186</v>
      </c>
      <c r="H39" s="12" t="s">
        <v>186</v>
      </c>
    </row>
    <row r="40" spans="1:8" x14ac:dyDescent="0.25">
      <c r="A40" s="12">
        <v>2823</v>
      </c>
      <c r="B40" s="12" t="s">
        <v>182</v>
      </c>
      <c r="C40" s="12" t="s">
        <v>84</v>
      </c>
      <c r="D40" s="12" t="s">
        <v>182</v>
      </c>
      <c r="E40" s="12" t="s">
        <v>20</v>
      </c>
      <c r="F40" s="12" t="s">
        <v>21</v>
      </c>
      <c r="G40" s="12" t="s">
        <v>187</v>
      </c>
      <c r="H40" s="12" t="s">
        <v>187</v>
      </c>
    </row>
    <row r="41" spans="1:8" x14ac:dyDescent="0.25">
      <c r="A41" s="12">
        <v>2824</v>
      </c>
      <c r="B41" s="12" t="s">
        <v>183</v>
      </c>
      <c r="C41" s="12" t="s">
        <v>84</v>
      </c>
      <c r="D41" s="12" t="s">
        <v>183</v>
      </c>
      <c r="E41" s="12" t="s">
        <v>20</v>
      </c>
      <c r="F41" s="12" t="s">
        <v>21</v>
      </c>
      <c r="G41" s="12" t="s">
        <v>188</v>
      </c>
      <c r="H41" s="12" t="s">
        <v>188</v>
      </c>
    </row>
    <row r="42" spans="1:8" x14ac:dyDescent="0.25">
      <c r="A42" s="12">
        <v>2825</v>
      </c>
      <c r="B42" s="12" t="s">
        <v>184</v>
      </c>
      <c r="C42" s="12" t="s">
        <v>84</v>
      </c>
      <c r="D42" s="12" t="s">
        <v>184</v>
      </c>
      <c r="E42" s="12" t="s">
        <v>20</v>
      </c>
      <c r="F42" s="12" t="s">
        <v>21</v>
      </c>
      <c r="G42" s="12" t="s">
        <v>189</v>
      </c>
      <c r="H42" s="12" t="s">
        <v>189</v>
      </c>
    </row>
    <row r="43" spans="1:8" x14ac:dyDescent="0.25">
      <c r="A43" s="12">
        <v>1584</v>
      </c>
      <c r="B43" s="12" t="s">
        <v>497</v>
      </c>
      <c r="C43" s="12" t="s">
        <v>190</v>
      </c>
      <c r="D43" s="12" t="s">
        <v>497</v>
      </c>
      <c r="E43" s="12" t="s">
        <v>20</v>
      </c>
      <c r="F43" s="12" t="s">
        <v>21</v>
      </c>
      <c r="G43" s="12" t="s">
        <v>185</v>
      </c>
      <c r="H43" s="12" t="s">
        <v>185</v>
      </c>
    </row>
    <row r="44" spans="1:8" x14ac:dyDescent="0.25">
      <c r="A44" s="12">
        <v>514</v>
      </c>
      <c r="B44" s="12" t="s">
        <v>85</v>
      </c>
      <c r="C44" s="12" t="s">
        <v>84</v>
      </c>
      <c r="D44" s="12" t="s">
        <v>85</v>
      </c>
      <c r="E44" s="12" t="s">
        <v>10</v>
      </c>
      <c r="F44" s="12" t="s">
        <v>11</v>
      </c>
      <c r="G44" s="12" t="s">
        <v>92</v>
      </c>
      <c r="H44" s="12" t="s">
        <v>87</v>
      </c>
    </row>
    <row r="45" spans="1:8" x14ac:dyDescent="0.25">
      <c r="A45" s="12">
        <v>1018</v>
      </c>
      <c r="B45" s="12" t="s">
        <v>8</v>
      </c>
      <c r="C45" s="12" t="str">
        <f t="shared" ref="C45:C56" si="1">RIGHT(B45,2)</f>
        <v>NJ</v>
      </c>
      <c r="D45" s="12" t="s">
        <v>8</v>
      </c>
      <c r="E45" s="12" t="s">
        <v>10</v>
      </c>
      <c r="F45" s="12" t="s">
        <v>11</v>
      </c>
      <c r="G45" s="12" t="s">
        <v>12</v>
      </c>
      <c r="H45" s="12" t="s">
        <v>69</v>
      </c>
    </row>
    <row r="46" spans="1:8" x14ac:dyDescent="0.25">
      <c r="A46" s="12">
        <v>1024</v>
      </c>
      <c r="B46" s="12" t="s">
        <v>13</v>
      </c>
      <c r="C46" s="12" t="str">
        <f t="shared" si="1"/>
        <v>NJ</v>
      </c>
      <c r="D46" s="12" t="s">
        <v>13</v>
      </c>
      <c r="E46" s="12" t="s">
        <v>10</v>
      </c>
      <c r="F46" s="12" t="s">
        <v>11</v>
      </c>
      <c r="G46" s="12" t="s">
        <v>15</v>
      </c>
      <c r="H46" s="12" t="s">
        <v>67</v>
      </c>
    </row>
    <row r="47" spans="1:8" x14ac:dyDescent="0.25">
      <c r="A47" s="12">
        <v>1030</v>
      </c>
      <c r="B47" s="12" t="s">
        <v>16</v>
      </c>
      <c r="C47" s="12" t="str">
        <f t="shared" si="1"/>
        <v>NJ</v>
      </c>
      <c r="D47" s="12" t="s">
        <v>16</v>
      </c>
      <c r="E47" s="12" t="s">
        <v>10</v>
      </c>
      <c r="F47" s="12" t="s">
        <v>11</v>
      </c>
      <c r="G47" s="12" t="s">
        <v>18</v>
      </c>
      <c r="H47" s="12" t="s">
        <v>68</v>
      </c>
    </row>
    <row r="48" spans="1:8" x14ac:dyDescent="0.25">
      <c r="A48" s="12">
        <v>1444</v>
      </c>
      <c r="B48" s="12" t="s">
        <v>24</v>
      </c>
      <c r="C48" s="12" t="str">
        <f t="shared" si="1"/>
        <v>OH</v>
      </c>
      <c r="D48" s="12" t="s">
        <v>24</v>
      </c>
      <c r="E48" s="12" t="s">
        <v>10</v>
      </c>
      <c r="F48" s="12" t="s">
        <v>11</v>
      </c>
      <c r="G48" s="12" t="s">
        <v>26</v>
      </c>
      <c r="H48" s="12" t="s">
        <v>70</v>
      </c>
    </row>
    <row r="49" spans="1:8" x14ac:dyDescent="0.25">
      <c r="A49" s="12">
        <v>1014</v>
      </c>
      <c r="B49" s="12" t="s">
        <v>28</v>
      </c>
      <c r="C49" s="12" t="str">
        <f t="shared" si="1"/>
        <v>DC</v>
      </c>
      <c r="D49" s="12" t="s">
        <v>28</v>
      </c>
      <c r="E49" s="12" t="s">
        <v>10</v>
      </c>
      <c r="F49" s="12" t="s">
        <v>11</v>
      </c>
      <c r="G49" s="12" t="s">
        <v>12</v>
      </c>
      <c r="H49" s="12" t="s">
        <v>55</v>
      </c>
    </row>
    <row r="50" spans="1:8" x14ac:dyDescent="0.25">
      <c r="A50" s="12">
        <v>1020</v>
      </c>
      <c r="B50" s="12" t="s">
        <v>30</v>
      </c>
      <c r="C50" s="12" t="str">
        <f t="shared" si="1"/>
        <v>DC</v>
      </c>
      <c r="D50" s="12" t="s">
        <v>30</v>
      </c>
      <c r="E50" s="12" t="s">
        <v>10</v>
      </c>
      <c r="F50" s="12" t="s">
        <v>11</v>
      </c>
      <c r="G50" s="12" t="s">
        <v>32</v>
      </c>
      <c r="H50" s="12" t="s">
        <v>56</v>
      </c>
    </row>
    <row r="51" spans="1:8" x14ac:dyDescent="0.25">
      <c r="A51" s="12">
        <v>1017</v>
      </c>
      <c r="B51" s="12" t="s">
        <v>35</v>
      </c>
      <c r="C51" s="12" t="str">
        <f t="shared" si="1"/>
        <v>MD</v>
      </c>
      <c r="D51" s="12" t="s">
        <v>35</v>
      </c>
      <c r="E51" s="12" t="s">
        <v>10</v>
      </c>
      <c r="F51" s="12" t="s">
        <v>11</v>
      </c>
      <c r="G51" s="12" t="s">
        <v>12</v>
      </c>
      <c r="H51" s="12" t="s">
        <v>74</v>
      </c>
    </row>
    <row r="52" spans="1:8" x14ac:dyDescent="0.25">
      <c r="A52" s="12">
        <v>1023</v>
      </c>
      <c r="B52" s="12" t="s">
        <v>37</v>
      </c>
      <c r="C52" s="12" t="str">
        <f t="shared" si="1"/>
        <v>MD</v>
      </c>
      <c r="D52" s="12" t="s">
        <v>37</v>
      </c>
      <c r="E52" s="12" t="s">
        <v>10</v>
      </c>
      <c r="F52" s="12" t="s">
        <v>11</v>
      </c>
      <c r="G52" s="12" t="s">
        <v>32</v>
      </c>
      <c r="H52" s="12" t="s">
        <v>75</v>
      </c>
    </row>
    <row r="53" spans="1:8" x14ac:dyDescent="0.25">
      <c r="A53" s="12">
        <v>1029</v>
      </c>
      <c r="B53" s="12" t="s">
        <v>39</v>
      </c>
      <c r="C53" s="12" t="str">
        <f t="shared" si="1"/>
        <v>MD</v>
      </c>
      <c r="D53" s="12" t="s">
        <v>39</v>
      </c>
      <c r="E53" s="12" t="s">
        <v>10</v>
      </c>
      <c r="F53" s="12" t="s">
        <v>11</v>
      </c>
      <c r="G53" s="12" t="s">
        <v>41</v>
      </c>
      <c r="H53" s="12" t="s">
        <v>76</v>
      </c>
    </row>
    <row r="54" spans="1:8" x14ac:dyDescent="0.25">
      <c r="A54" s="12">
        <v>1019</v>
      </c>
      <c r="B54" s="12" t="s">
        <v>45</v>
      </c>
      <c r="C54" s="12" t="str">
        <f t="shared" si="1"/>
        <v>PA</v>
      </c>
      <c r="D54" s="12" t="s">
        <v>45</v>
      </c>
      <c r="E54" s="12" t="s">
        <v>10</v>
      </c>
      <c r="F54" s="12" t="s">
        <v>11</v>
      </c>
      <c r="G54" s="12" t="s">
        <v>12</v>
      </c>
      <c r="H54" s="12" t="s">
        <v>71</v>
      </c>
    </row>
    <row r="55" spans="1:8" x14ac:dyDescent="0.25">
      <c r="A55" s="12">
        <v>1025</v>
      </c>
      <c r="B55" s="12" t="s">
        <v>47</v>
      </c>
      <c r="C55" s="12" t="str">
        <f t="shared" si="1"/>
        <v>PA</v>
      </c>
      <c r="D55" s="12" t="s">
        <v>47</v>
      </c>
      <c r="E55" s="12" t="s">
        <v>10</v>
      </c>
      <c r="F55" s="12" t="s">
        <v>11</v>
      </c>
      <c r="G55" s="12" t="s">
        <v>32</v>
      </c>
      <c r="H55" s="12" t="s">
        <v>72</v>
      </c>
    </row>
    <row r="56" spans="1:8" x14ac:dyDescent="0.25">
      <c r="A56" s="12">
        <v>1031</v>
      </c>
      <c r="B56" s="12" t="s">
        <v>49</v>
      </c>
      <c r="C56" s="12" t="str">
        <f t="shared" si="1"/>
        <v>PA</v>
      </c>
      <c r="D56" s="12" t="s">
        <v>49</v>
      </c>
      <c r="E56" s="12" t="s">
        <v>10</v>
      </c>
      <c r="F56" s="12" t="s">
        <v>11</v>
      </c>
      <c r="G56" s="12" t="s">
        <v>41</v>
      </c>
      <c r="H56" s="12" t="s">
        <v>73</v>
      </c>
    </row>
    <row r="57" spans="1:8" x14ac:dyDescent="0.25">
      <c r="A57" s="12">
        <v>746</v>
      </c>
      <c r="B57" s="12" t="s">
        <v>88</v>
      </c>
      <c r="C57" s="12" t="s">
        <v>90</v>
      </c>
      <c r="D57" s="12" t="s">
        <v>88</v>
      </c>
      <c r="E57" s="12" t="s">
        <v>10</v>
      </c>
      <c r="F57" s="12" t="s">
        <v>11</v>
      </c>
      <c r="G57" s="12" t="s">
        <v>32</v>
      </c>
      <c r="H57" s="12" t="s">
        <v>91</v>
      </c>
    </row>
    <row r="58" spans="1:8" x14ac:dyDescent="0.25">
      <c r="A58" s="12">
        <v>648</v>
      </c>
      <c r="B58" s="12" t="s">
        <v>93</v>
      </c>
      <c r="C58" s="12" t="s">
        <v>96</v>
      </c>
      <c r="D58" s="12" t="s">
        <v>93</v>
      </c>
      <c r="E58" s="12" t="s">
        <v>10</v>
      </c>
      <c r="F58" s="12" t="s">
        <v>11</v>
      </c>
      <c r="G58" s="12" t="s">
        <v>15</v>
      </c>
      <c r="H58" s="12" t="s">
        <v>147</v>
      </c>
    </row>
    <row r="59" spans="1:8" x14ac:dyDescent="0.25">
      <c r="A59" s="12">
        <v>651</v>
      </c>
      <c r="B59" s="12" t="s">
        <v>94</v>
      </c>
      <c r="C59" s="12" t="s">
        <v>96</v>
      </c>
      <c r="D59" s="12" t="s">
        <v>94</v>
      </c>
      <c r="E59" s="12" t="s">
        <v>10</v>
      </c>
      <c r="F59" s="12" t="s">
        <v>11</v>
      </c>
      <c r="G59" s="12" t="s">
        <v>18</v>
      </c>
      <c r="H59" s="12" t="s">
        <v>148</v>
      </c>
    </row>
    <row r="60" spans="1:8" x14ac:dyDescent="0.25">
      <c r="A60" s="12">
        <v>654</v>
      </c>
      <c r="B60" s="12" t="s">
        <v>95</v>
      </c>
      <c r="C60" s="12" t="s">
        <v>96</v>
      </c>
      <c r="D60" s="12" t="s">
        <v>95</v>
      </c>
      <c r="E60" s="12" t="s">
        <v>10</v>
      </c>
      <c r="F60" s="12" t="s">
        <v>11</v>
      </c>
      <c r="G60" s="12" t="s">
        <v>127</v>
      </c>
      <c r="H60" s="12" t="s">
        <v>149</v>
      </c>
    </row>
    <row r="61" spans="1:8" x14ac:dyDescent="0.25">
      <c r="A61" s="12">
        <v>2292</v>
      </c>
      <c r="B61" s="12" t="s">
        <v>100</v>
      </c>
      <c r="C61" s="12" t="s">
        <v>102</v>
      </c>
      <c r="D61" s="12" t="s">
        <v>100</v>
      </c>
      <c r="E61" s="12" t="s">
        <v>10</v>
      </c>
      <c r="F61" s="12" t="s">
        <v>11</v>
      </c>
      <c r="G61" s="12" t="s">
        <v>15</v>
      </c>
      <c r="H61" s="12" t="s">
        <v>150</v>
      </c>
    </row>
    <row r="62" spans="1:8" x14ac:dyDescent="0.25">
      <c r="A62" s="12">
        <v>2294</v>
      </c>
      <c r="B62" s="12" t="s">
        <v>101</v>
      </c>
      <c r="C62" s="12" t="s">
        <v>102</v>
      </c>
      <c r="D62" s="12" t="s">
        <v>101</v>
      </c>
      <c r="E62" s="12" t="s">
        <v>10</v>
      </c>
      <c r="F62" s="12" t="s">
        <v>11</v>
      </c>
      <c r="G62" s="12" t="s">
        <v>18</v>
      </c>
      <c r="H62" s="12" t="s">
        <v>151</v>
      </c>
    </row>
    <row r="63" spans="1:8" x14ac:dyDescent="0.25">
      <c r="A63" s="12">
        <v>650</v>
      </c>
      <c r="B63" s="12" t="s">
        <v>112</v>
      </c>
      <c r="C63" s="12" t="s">
        <v>111</v>
      </c>
      <c r="D63" s="12" t="s">
        <v>112</v>
      </c>
      <c r="E63" s="12" t="s">
        <v>10</v>
      </c>
      <c r="F63" s="12" t="s">
        <v>11</v>
      </c>
      <c r="G63" s="12" t="s">
        <v>15</v>
      </c>
      <c r="H63" s="12" t="s">
        <v>152</v>
      </c>
    </row>
    <row r="64" spans="1:8" x14ac:dyDescent="0.25">
      <c r="A64" s="12">
        <v>653</v>
      </c>
      <c r="B64" s="12" t="s">
        <v>113</v>
      </c>
      <c r="C64" s="12" t="s">
        <v>111</v>
      </c>
      <c r="D64" s="12" t="s">
        <v>113</v>
      </c>
      <c r="E64" s="12" t="s">
        <v>10</v>
      </c>
      <c r="F64" s="12" t="s">
        <v>11</v>
      </c>
      <c r="G64" s="12" t="s">
        <v>18</v>
      </c>
      <c r="H64" s="12" t="s">
        <v>153</v>
      </c>
    </row>
    <row r="65" spans="1:8" x14ac:dyDescent="0.25">
      <c r="A65" s="12">
        <v>656</v>
      </c>
      <c r="B65" s="12" t="s">
        <v>114</v>
      </c>
      <c r="C65" s="12" t="s">
        <v>111</v>
      </c>
      <c r="D65" s="12" t="s">
        <v>114</v>
      </c>
      <c r="E65" s="12" t="s">
        <v>10</v>
      </c>
      <c r="F65" s="12" t="s">
        <v>11</v>
      </c>
      <c r="G65" s="12" t="s">
        <v>109</v>
      </c>
      <c r="H65" s="12" t="s">
        <v>154</v>
      </c>
    </row>
    <row r="66" spans="1:8" x14ac:dyDescent="0.25">
      <c r="A66" s="12">
        <v>1162</v>
      </c>
      <c r="B66" s="12" t="s">
        <v>115</v>
      </c>
      <c r="C66" s="12" t="s">
        <v>111</v>
      </c>
      <c r="D66" s="12" t="s">
        <v>115</v>
      </c>
      <c r="E66" s="12" t="s">
        <v>10</v>
      </c>
      <c r="F66" s="12" t="s">
        <v>11</v>
      </c>
      <c r="G66" s="12" t="s">
        <v>110</v>
      </c>
      <c r="H66" s="12" t="s">
        <v>155</v>
      </c>
    </row>
    <row r="67" spans="1:8" x14ac:dyDescent="0.25">
      <c r="A67" s="12">
        <v>1165</v>
      </c>
      <c r="B67" s="12" t="s">
        <v>473</v>
      </c>
      <c r="C67" s="12" t="s">
        <v>111</v>
      </c>
      <c r="D67" s="12" t="s">
        <v>473</v>
      </c>
      <c r="E67" s="12" t="s">
        <v>10</v>
      </c>
      <c r="F67" s="12" t="s">
        <v>11</v>
      </c>
      <c r="G67" s="12" t="s">
        <v>127</v>
      </c>
      <c r="H67" s="12" t="s">
        <v>472</v>
      </c>
    </row>
    <row r="68" spans="1:8" x14ac:dyDescent="0.25">
      <c r="A68" s="12">
        <v>2291</v>
      </c>
      <c r="B68" s="12" t="s">
        <v>121</v>
      </c>
      <c r="C68" s="12" t="s">
        <v>125</v>
      </c>
      <c r="D68" s="12" t="s">
        <v>121</v>
      </c>
      <c r="E68" s="12" t="s">
        <v>10</v>
      </c>
      <c r="F68" s="12" t="s">
        <v>11</v>
      </c>
      <c r="G68" s="12" t="s">
        <v>15</v>
      </c>
      <c r="H68" s="12" t="s">
        <v>156</v>
      </c>
    </row>
    <row r="69" spans="1:8" x14ac:dyDescent="0.25">
      <c r="A69" s="12">
        <v>2293</v>
      </c>
      <c r="B69" s="12" t="s">
        <v>122</v>
      </c>
      <c r="C69" s="12" t="s">
        <v>125</v>
      </c>
      <c r="D69" s="12" t="s">
        <v>122</v>
      </c>
      <c r="E69" s="12" t="s">
        <v>10</v>
      </c>
      <c r="F69" s="12" t="s">
        <v>11</v>
      </c>
      <c r="G69" s="12" t="s">
        <v>18</v>
      </c>
      <c r="H69" s="12" t="s">
        <v>157</v>
      </c>
    </row>
    <row r="70" spans="1:8" x14ac:dyDescent="0.25">
      <c r="A70" s="12">
        <v>2295</v>
      </c>
      <c r="B70" s="12" t="s">
        <v>123</v>
      </c>
      <c r="C70" s="12" t="s">
        <v>125</v>
      </c>
      <c r="D70" s="12" t="s">
        <v>123</v>
      </c>
      <c r="E70" s="12" t="s">
        <v>10</v>
      </c>
      <c r="F70" s="12" t="s">
        <v>11</v>
      </c>
      <c r="G70" s="12" t="s">
        <v>127</v>
      </c>
      <c r="H70" s="12" t="s">
        <v>158</v>
      </c>
    </row>
    <row r="71" spans="1:8" x14ac:dyDescent="0.25">
      <c r="A71" s="12">
        <v>2303</v>
      </c>
      <c r="B71" s="12" t="s">
        <v>124</v>
      </c>
      <c r="C71" s="12" t="s">
        <v>125</v>
      </c>
      <c r="D71" s="12" t="s">
        <v>124</v>
      </c>
      <c r="E71" s="12" t="s">
        <v>10</v>
      </c>
      <c r="F71" s="12" t="s">
        <v>11</v>
      </c>
      <c r="G71" s="12" t="s">
        <v>128</v>
      </c>
      <c r="H71" s="12" t="s">
        <v>159</v>
      </c>
    </row>
    <row r="72" spans="1:8" x14ac:dyDescent="0.25">
      <c r="A72" s="12">
        <v>2305</v>
      </c>
      <c r="B72" s="12" t="s">
        <v>129</v>
      </c>
      <c r="C72" s="12" t="s">
        <v>125</v>
      </c>
      <c r="D72" s="12" t="s">
        <v>129</v>
      </c>
      <c r="E72" s="12" t="s">
        <v>10</v>
      </c>
      <c r="F72" s="12" t="s">
        <v>11</v>
      </c>
      <c r="G72" s="12" t="s">
        <v>126</v>
      </c>
      <c r="H72" s="12" t="s">
        <v>160</v>
      </c>
    </row>
    <row r="73" spans="1:8" x14ac:dyDescent="0.25">
      <c r="A73" s="12">
        <v>649</v>
      </c>
      <c r="B73" s="12" t="s">
        <v>130</v>
      </c>
      <c r="C73" s="12" t="s">
        <v>142</v>
      </c>
      <c r="D73" s="12" t="s">
        <v>130</v>
      </c>
      <c r="E73" s="12" t="s">
        <v>10</v>
      </c>
      <c r="F73" s="12" t="s">
        <v>11</v>
      </c>
      <c r="G73" s="12" t="s">
        <v>15</v>
      </c>
      <c r="H73" s="12" t="s">
        <v>161</v>
      </c>
    </row>
    <row r="74" spans="1:8" x14ac:dyDescent="0.25">
      <c r="A74" s="12">
        <v>652</v>
      </c>
      <c r="B74" s="12" t="s">
        <v>131</v>
      </c>
      <c r="C74" s="12" t="s">
        <v>142</v>
      </c>
      <c r="D74" s="12" t="s">
        <v>131</v>
      </c>
      <c r="E74" s="12" t="s">
        <v>10</v>
      </c>
      <c r="F74" s="12" t="s">
        <v>11</v>
      </c>
      <c r="G74" s="12" t="s">
        <v>143</v>
      </c>
      <c r="H74" s="12" t="s">
        <v>162</v>
      </c>
    </row>
    <row r="75" spans="1:8" x14ac:dyDescent="0.25">
      <c r="A75" s="12">
        <v>655</v>
      </c>
      <c r="B75" s="12" t="s">
        <v>132</v>
      </c>
      <c r="C75" s="12" t="s">
        <v>142</v>
      </c>
      <c r="D75" s="12" t="s">
        <v>132</v>
      </c>
      <c r="E75" s="12" t="s">
        <v>10</v>
      </c>
      <c r="F75" s="12" t="s">
        <v>11</v>
      </c>
      <c r="G75" s="12" t="s">
        <v>18</v>
      </c>
      <c r="H75" s="12" t="s">
        <v>163</v>
      </c>
    </row>
    <row r="76" spans="1:8" x14ac:dyDescent="0.25">
      <c r="A76" s="12">
        <v>1161</v>
      </c>
      <c r="B76" s="12" t="s">
        <v>136</v>
      </c>
      <c r="C76" s="12" t="s">
        <v>142</v>
      </c>
      <c r="D76" s="12" t="s">
        <v>136</v>
      </c>
      <c r="E76" s="12" t="s">
        <v>10</v>
      </c>
      <c r="F76" s="12" t="s">
        <v>11</v>
      </c>
      <c r="G76" s="12" t="s">
        <v>144</v>
      </c>
      <c r="H76" s="12" t="s">
        <v>164</v>
      </c>
    </row>
    <row r="77" spans="1:8" x14ac:dyDescent="0.25">
      <c r="A77" s="12">
        <v>1164</v>
      </c>
      <c r="B77" s="12" t="s">
        <v>137</v>
      </c>
      <c r="C77" s="12" t="s">
        <v>142</v>
      </c>
      <c r="D77" s="12" t="s">
        <v>137</v>
      </c>
      <c r="E77" s="12" t="s">
        <v>10</v>
      </c>
      <c r="F77" s="12" t="s">
        <v>11</v>
      </c>
      <c r="G77" s="12" t="s">
        <v>145</v>
      </c>
      <c r="H77" s="12" t="s">
        <v>165</v>
      </c>
    </row>
    <row r="78" spans="1:8" x14ac:dyDescent="0.25">
      <c r="A78" s="12">
        <v>2726</v>
      </c>
      <c r="B78" s="12" t="s">
        <v>141</v>
      </c>
      <c r="C78" s="12" t="s">
        <v>142</v>
      </c>
      <c r="D78" s="12" t="s">
        <v>141</v>
      </c>
      <c r="E78" s="12" t="s">
        <v>10</v>
      </c>
      <c r="F78" s="12" t="s">
        <v>11</v>
      </c>
      <c r="G78" s="12" t="s">
        <v>146</v>
      </c>
      <c r="H78" s="12" t="s">
        <v>166</v>
      </c>
    </row>
    <row r="79" spans="1:8" x14ac:dyDescent="0.25">
      <c r="A79" s="12">
        <v>1179</v>
      </c>
      <c r="B79" s="12" t="s">
        <v>171</v>
      </c>
      <c r="C79" s="12" t="s">
        <v>168</v>
      </c>
      <c r="D79" s="12" t="s">
        <v>171</v>
      </c>
      <c r="E79" s="12" t="s">
        <v>10</v>
      </c>
      <c r="F79" s="12" t="s">
        <v>11</v>
      </c>
      <c r="G79" s="12" t="s">
        <v>170</v>
      </c>
      <c r="H79" s="12" t="s">
        <v>77</v>
      </c>
    </row>
    <row r="80" spans="1:8" x14ac:dyDescent="0.25">
      <c r="A80" s="12">
        <v>2477</v>
      </c>
      <c r="B80" s="12" t="s">
        <v>502</v>
      </c>
      <c r="C80" s="12" t="s">
        <v>142</v>
      </c>
      <c r="D80" s="12" t="s">
        <v>502</v>
      </c>
      <c r="E80" s="12" t="s">
        <v>507</v>
      </c>
      <c r="F80" s="12" t="s">
        <v>505</v>
      </c>
      <c r="G80" s="12" t="s">
        <v>508</v>
      </c>
      <c r="H80" s="12" t="s">
        <v>509</v>
      </c>
    </row>
    <row r="81" spans="1:8" x14ac:dyDescent="0.25">
      <c r="A81" s="12">
        <v>630</v>
      </c>
      <c r="B81" s="12" t="s">
        <v>503</v>
      </c>
      <c r="C81" s="12" t="s">
        <v>142</v>
      </c>
      <c r="D81" s="12" t="s">
        <v>503</v>
      </c>
      <c r="E81" s="12" t="s">
        <v>507</v>
      </c>
      <c r="F81" s="12" t="s">
        <v>505</v>
      </c>
      <c r="G81" s="12" t="s">
        <v>146</v>
      </c>
      <c r="H81" s="12" t="s">
        <v>166</v>
      </c>
    </row>
    <row r="82" spans="1:8" x14ac:dyDescent="0.25">
      <c r="A82" s="12">
        <v>2817</v>
      </c>
      <c r="B82" s="12" t="s">
        <v>504</v>
      </c>
      <c r="C82" s="12" t="s">
        <v>142</v>
      </c>
      <c r="D82" s="12" t="s">
        <v>504</v>
      </c>
      <c r="E82" s="12" t="s">
        <v>507</v>
      </c>
      <c r="F82" s="12" t="s">
        <v>505</v>
      </c>
      <c r="G82" s="12" t="s">
        <v>506</v>
      </c>
      <c r="H82" s="12" t="s">
        <v>174</v>
      </c>
    </row>
  </sheetData>
  <autoFilter ref="A1:H79" xr:uid="{1D36D76C-9166-4BB2-94B7-B18CA875D5F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15C9-327E-4F92-B6DD-A8CB46BAD03C}">
  <dimension ref="A1:I66"/>
  <sheetViews>
    <sheetView workbookViewId="0">
      <selection activeCell="D18" sqref="D18"/>
    </sheetView>
  </sheetViews>
  <sheetFormatPr defaultRowHeight="15" x14ac:dyDescent="0.25"/>
  <cols>
    <col min="1" max="1" width="10.5703125" bestFit="1" customWidth="1"/>
    <col min="2" max="2" width="28.85546875" bestFit="1" customWidth="1"/>
    <col min="3" max="3" width="10" bestFit="1" customWidth="1"/>
    <col min="4" max="4" width="13.42578125" bestFit="1" customWidth="1"/>
    <col min="5" max="6" width="11" bestFit="1" customWidth="1"/>
    <col min="7" max="7" width="10.85546875" bestFit="1" customWidth="1"/>
    <col min="8" max="8" width="9.42578125" bestFit="1" customWidth="1"/>
    <col min="9" max="9" width="14.85546875" bestFit="1" customWidth="1"/>
  </cols>
  <sheetData>
    <row r="1" spans="1:9" x14ac:dyDescent="0.25">
      <c r="A1" s="4" t="s">
        <v>191</v>
      </c>
      <c r="B1" s="5" t="s">
        <v>192</v>
      </c>
      <c r="C1" s="5" t="s">
        <v>194</v>
      </c>
      <c r="D1" s="5" t="s">
        <v>193</v>
      </c>
      <c r="E1" s="8" t="s">
        <v>197</v>
      </c>
      <c r="F1" s="8" t="s">
        <v>465</v>
      </c>
      <c r="G1" s="8" t="s">
        <v>466</v>
      </c>
      <c r="H1" s="8" t="s">
        <v>467</v>
      </c>
      <c r="I1" s="8" t="s">
        <v>468</v>
      </c>
    </row>
    <row r="2" spans="1:9" x14ac:dyDescent="0.25">
      <c r="A2" s="9" t="s">
        <v>198</v>
      </c>
      <c r="B2" s="10" t="s">
        <v>199</v>
      </c>
      <c r="C2" s="11" t="s">
        <v>201</v>
      </c>
      <c r="D2" s="11" t="s">
        <v>200</v>
      </c>
      <c r="E2" s="11" t="s">
        <v>463</v>
      </c>
      <c r="F2" s="12">
        <v>1000</v>
      </c>
      <c r="G2" s="13">
        <v>2</v>
      </c>
      <c r="H2" s="13">
        <v>3</v>
      </c>
      <c r="I2" s="13">
        <v>5</v>
      </c>
    </row>
    <row r="3" spans="1:9" x14ac:dyDescent="0.25">
      <c r="A3" s="9" t="s">
        <v>204</v>
      </c>
      <c r="B3" s="10" t="s">
        <v>205</v>
      </c>
      <c r="C3" s="11" t="s">
        <v>201</v>
      </c>
      <c r="D3" s="11" t="s">
        <v>200</v>
      </c>
      <c r="E3" s="11" t="s">
        <v>463</v>
      </c>
      <c r="F3" s="12">
        <v>1000</v>
      </c>
      <c r="G3" s="13">
        <v>2</v>
      </c>
      <c r="H3" s="13">
        <v>3</v>
      </c>
      <c r="I3" s="13">
        <v>5</v>
      </c>
    </row>
    <row r="4" spans="1:9" x14ac:dyDescent="0.25">
      <c r="A4" s="9" t="s">
        <v>207</v>
      </c>
      <c r="B4" s="10" t="s">
        <v>208</v>
      </c>
      <c r="C4" s="11" t="s">
        <v>201</v>
      </c>
      <c r="D4" s="11" t="s">
        <v>200</v>
      </c>
      <c r="E4" s="11" t="s">
        <v>463</v>
      </c>
      <c r="F4" s="12">
        <v>1000</v>
      </c>
      <c r="G4" s="13">
        <v>2</v>
      </c>
      <c r="H4" s="13">
        <v>3</v>
      </c>
      <c r="I4" s="13">
        <v>5</v>
      </c>
    </row>
    <row r="5" spans="1:9" x14ac:dyDescent="0.25">
      <c r="A5" s="9" t="s">
        <v>210</v>
      </c>
      <c r="B5" s="10" t="s">
        <v>211</v>
      </c>
      <c r="C5" s="11" t="s">
        <v>201</v>
      </c>
      <c r="D5" s="11" t="s">
        <v>200</v>
      </c>
      <c r="E5" s="11" t="s">
        <v>463</v>
      </c>
      <c r="F5" s="12">
        <v>1000</v>
      </c>
      <c r="G5" s="13">
        <v>2</v>
      </c>
      <c r="H5" s="13">
        <v>3</v>
      </c>
      <c r="I5" s="13">
        <v>5</v>
      </c>
    </row>
    <row r="6" spans="1:9" x14ac:dyDescent="0.25">
      <c r="A6" s="9" t="s">
        <v>264</v>
      </c>
      <c r="B6" s="10" t="s">
        <v>265</v>
      </c>
      <c r="C6" s="11" t="s">
        <v>443</v>
      </c>
      <c r="D6" s="11" t="s">
        <v>200</v>
      </c>
      <c r="E6" s="11" t="s">
        <v>463</v>
      </c>
      <c r="F6" s="12">
        <v>1000</v>
      </c>
      <c r="G6" s="13">
        <v>2</v>
      </c>
      <c r="H6" s="13">
        <v>3</v>
      </c>
      <c r="I6" s="13">
        <v>5</v>
      </c>
    </row>
    <row r="7" spans="1:9" x14ac:dyDescent="0.25">
      <c r="A7" s="9" t="s">
        <v>266</v>
      </c>
      <c r="B7" s="10" t="s">
        <v>267</v>
      </c>
      <c r="C7" s="11" t="s">
        <v>443</v>
      </c>
      <c r="D7" s="11" t="s">
        <v>200</v>
      </c>
      <c r="E7" s="11" t="s">
        <v>463</v>
      </c>
      <c r="F7" s="12">
        <v>1000</v>
      </c>
      <c r="G7" s="13">
        <v>2</v>
      </c>
      <c r="H7" s="13">
        <v>3</v>
      </c>
      <c r="I7" s="13">
        <v>5</v>
      </c>
    </row>
    <row r="8" spans="1:9" x14ac:dyDescent="0.25">
      <c r="A8" s="9" t="s">
        <v>268</v>
      </c>
      <c r="B8" s="10" t="s">
        <v>269</v>
      </c>
      <c r="C8" s="11" t="s">
        <v>443</v>
      </c>
      <c r="D8" s="11" t="s">
        <v>200</v>
      </c>
      <c r="E8" s="11" t="s">
        <v>463</v>
      </c>
      <c r="F8" s="12">
        <v>1000</v>
      </c>
      <c r="G8" s="13">
        <v>2</v>
      </c>
      <c r="H8" s="13">
        <v>3</v>
      </c>
      <c r="I8" s="13">
        <v>5</v>
      </c>
    </row>
    <row r="9" spans="1:9" x14ac:dyDescent="0.25">
      <c r="A9" s="9" t="s">
        <v>454</v>
      </c>
      <c r="B9" s="10" t="s">
        <v>455</v>
      </c>
      <c r="C9" s="11" t="s">
        <v>443</v>
      </c>
      <c r="D9" s="11" t="s">
        <v>200</v>
      </c>
      <c r="E9" s="11" t="s">
        <v>463</v>
      </c>
      <c r="F9" s="12">
        <v>1000</v>
      </c>
      <c r="G9" s="13">
        <v>2</v>
      </c>
      <c r="H9" s="13">
        <v>3</v>
      </c>
      <c r="I9" s="13">
        <v>5</v>
      </c>
    </row>
    <row r="10" spans="1:9" x14ac:dyDescent="0.25">
      <c r="A10" s="9" t="s">
        <v>461</v>
      </c>
      <c r="B10" s="10" t="s">
        <v>462</v>
      </c>
      <c r="C10" s="11" t="s">
        <v>443</v>
      </c>
      <c r="D10" s="11" t="s">
        <v>200</v>
      </c>
      <c r="E10" s="11" t="s">
        <v>463</v>
      </c>
      <c r="F10" s="12">
        <v>1000</v>
      </c>
      <c r="G10" s="13">
        <v>2</v>
      </c>
      <c r="H10" s="13">
        <v>3</v>
      </c>
      <c r="I10" s="13">
        <v>5</v>
      </c>
    </row>
    <row r="11" spans="1:9" x14ac:dyDescent="0.25">
      <c r="A11" s="9" t="s">
        <v>291</v>
      </c>
      <c r="B11" s="10" t="s">
        <v>292</v>
      </c>
      <c r="C11" s="11" t="s">
        <v>293</v>
      </c>
      <c r="D11" s="11" t="s">
        <v>200</v>
      </c>
      <c r="E11" s="11" t="s">
        <v>463</v>
      </c>
      <c r="F11" s="12">
        <v>100</v>
      </c>
      <c r="G11" s="13">
        <v>1.5</v>
      </c>
      <c r="H11" s="13">
        <v>2</v>
      </c>
      <c r="I11" s="13">
        <v>3.5</v>
      </c>
    </row>
    <row r="12" spans="1:9" x14ac:dyDescent="0.25">
      <c r="A12" s="9" t="s">
        <v>301</v>
      </c>
      <c r="B12" s="10" t="s">
        <v>302</v>
      </c>
      <c r="C12" s="11" t="s">
        <v>293</v>
      </c>
      <c r="D12" s="11" t="s">
        <v>200</v>
      </c>
      <c r="E12" s="11" t="s">
        <v>463</v>
      </c>
      <c r="F12" s="12">
        <v>100</v>
      </c>
      <c r="G12" s="13">
        <v>1.5</v>
      </c>
      <c r="H12" s="13">
        <v>2</v>
      </c>
      <c r="I12" s="13">
        <v>3.5</v>
      </c>
    </row>
    <row r="13" spans="1:9" x14ac:dyDescent="0.25">
      <c r="A13" s="9" t="s">
        <v>306</v>
      </c>
      <c r="B13" s="10" t="s">
        <v>165</v>
      </c>
      <c r="C13" s="11" t="s">
        <v>293</v>
      </c>
      <c r="D13" s="11" t="s">
        <v>200</v>
      </c>
      <c r="E13" s="11" t="s">
        <v>463</v>
      </c>
      <c r="F13" s="12">
        <v>10</v>
      </c>
      <c r="G13" s="13">
        <v>2</v>
      </c>
      <c r="H13" s="13">
        <v>3</v>
      </c>
      <c r="I13" s="13">
        <v>5</v>
      </c>
    </row>
    <row r="14" spans="1:9" x14ac:dyDescent="0.25">
      <c r="A14" s="9" t="s">
        <v>310</v>
      </c>
      <c r="B14" s="10" t="s">
        <v>166</v>
      </c>
      <c r="C14" s="11" t="s">
        <v>293</v>
      </c>
      <c r="D14" s="11" t="s">
        <v>200</v>
      </c>
      <c r="E14" s="11" t="s">
        <v>463</v>
      </c>
      <c r="F14" s="12">
        <v>10</v>
      </c>
      <c r="G14" s="13">
        <v>2</v>
      </c>
      <c r="H14" s="13">
        <v>3</v>
      </c>
      <c r="I14" s="13">
        <v>5</v>
      </c>
    </row>
    <row r="15" spans="1:9" x14ac:dyDescent="0.25">
      <c r="A15" s="9" t="s">
        <v>326</v>
      </c>
      <c r="B15" s="10" t="s">
        <v>327</v>
      </c>
      <c r="C15" s="11" t="s">
        <v>293</v>
      </c>
      <c r="D15" s="11" t="s">
        <v>200</v>
      </c>
      <c r="E15" s="11" t="s">
        <v>463</v>
      </c>
      <c r="F15" s="12">
        <v>100</v>
      </c>
      <c r="G15" s="13">
        <v>1.5</v>
      </c>
      <c r="H15" s="13">
        <v>2</v>
      </c>
      <c r="I15" s="13">
        <v>3.5</v>
      </c>
    </row>
    <row r="16" spans="1:9" x14ac:dyDescent="0.25">
      <c r="A16" s="9" t="s">
        <v>328</v>
      </c>
      <c r="B16" s="10" t="s">
        <v>329</v>
      </c>
      <c r="C16" s="11" t="s">
        <v>293</v>
      </c>
      <c r="D16" s="11" t="s">
        <v>200</v>
      </c>
      <c r="E16" s="11" t="s">
        <v>463</v>
      </c>
      <c r="F16" s="12">
        <v>100</v>
      </c>
      <c r="G16" s="13">
        <v>1.5</v>
      </c>
      <c r="H16" s="13">
        <v>2</v>
      </c>
      <c r="I16" s="13">
        <v>3.5</v>
      </c>
    </row>
    <row r="17" spans="1:9" x14ac:dyDescent="0.25">
      <c r="A17" s="9" t="s">
        <v>362</v>
      </c>
      <c r="B17" s="10" t="s">
        <v>363</v>
      </c>
      <c r="C17" s="11" t="s">
        <v>359</v>
      </c>
      <c r="D17" s="11" t="s">
        <v>200</v>
      </c>
      <c r="E17" s="11" t="s">
        <v>463</v>
      </c>
      <c r="F17" s="12">
        <v>100</v>
      </c>
      <c r="G17" s="13">
        <v>0.75</v>
      </c>
      <c r="H17" s="13">
        <v>1</v>
      </c>
      <c r="I17" s="13">
        <v>1.75</v>
      </c>
    </row>
    <row r="18" spans="1:9" x14ac:dyDescent="0.25">
      <c r="A18" s="9" t="s">
        <v>366</v>
      </c>
      <c r="B18" s="10" t="s">
        <v>367</v>
      </c>
      <c r="C18" s="11" t="s">
        <v>359</v>
      </c>
      <c r="D18" s="11" t="s">
        <v>200</v>
      </c>
      <c r="E18" s="11" t="s">
        <v>463</v>
      </c>
      <c r="F18" s="12">
        <v>10</v>
      </c>
      <c r="G18" s="13">
        <v>0.25</v>
      </c>
      <c r="H18" s="13">
        <v>0.5</v>
      </c>
      <c r="I18" s="13">
        <v>0.75</v>
      </c>
    </row>
    <row r="19" spans="1:9" x14ac:dyDescent="0.25">
      <c r="A19" s="9" t="s">
        <v>368</v>
      </c>
      <c r="B19" s="10" t="s">
        <v>369</v>
      </c>
      <c r="C19" s="11" t="s">
        <v>359</v>
      </c>
      <c r="D19" s="11" t="s">
        <v>200</v>
      </c>
      <c r="E19" s="11" t="s">
        <v>463</v>
      </c>
      <c r="F19" s="12">
        <v>100</v>
      </c>
      <c r="G19" s="13">
        <v>0.75</v>
      </c>
      <c r="H19" s="13">
        <v>1</v>
      </c>
      <c r="I19" s="13">
        <v>1.75</v>
      </c>
    </row>
    <row r="20" spans="1:9" x14ac:dyDescent="0.25">
      <c r="A20" s="9" t="s">
        <v>372</v>
      </c>
      <c r="B20" s="10" t="s">
        <v>373</v>
      </c>
      <c r="C20" s="11" t="s">
        <v>359</v>
      </c>
      <c r="D20" s="11" t="s">
        <v>200</v>
      </c>
      <c r="E20" s="11" t="s">
        <v>463</v>
      </c>
      <c r="F20" s="12">
        <v>100</v>
      </c>
      <c r="G20" s="13">
        <v>0.75</v>
      </c>
      <c r="H20" s="13">
        <v>1</v>
      </c>
      <c r="I20" s="13">
        <v>1.75</v>
      </c>
    </row>
    <row r="21" spans="1:9" x14ac:dyDescent="0.25">
      <c r="A21" s="9" t="s">
        <v>374</v>
      </c>
      <c r="B21" s="10" t="s">
        <v>375</v>
      </c>
      <c r="C21" s="11" t="s">
        <v>359</v>
      </c>
      <c r="D21" s="11" t="s">
        <v>200</v>
      </c>
      <c r="E21" s="11" t="s">
        <v>463</v>
      </c>
      <c r="F21" s="12">
        <v>10</v>
      </c>
      <c r="G21" s="13">
        <v>2</v>
      </c>
      <c r="H21" s="13">
        <v>3</v>
      </c>
      <c r="I21" s="13">
        <v>5</v>
      </c>
    </row>
    <row r="22" spans="1:9" x14ac:dyDescent="0.25">
      <c r="A22" s="9" t="s">
        <v>383</v>
      </c>
      <c r="B22" s="10" t="s">
        <v>384</v>
      </c>
      <c r="C22" s="11" t="s">
        <v>359</v>
      </c>
      <c r="D22" s="11" t="s">
        <v>200</v>
      </c>
      <c r="E22" s="11" t="s">
        <v>463</v>
      </c>
      <c r="F22" s="12">
        <v>100</v>
      </c>
      <c r="G22" s="13">
        <v>0.75</v>
      </c>
      <c r="H22" s="13">
        <v>1</v>
      </c>
      <c r="I22" s="13">
        <v>1.75</v>
      </c>
    </row>
    <row r="23" spans="1:9" x14ac:dyDescent="0.25">
      <c r="A23" s="9" t="s">
        <v>386</v>
      </c>
      <c r="B23" s="10" t="s">
        <v>387</v>
      </c>
      <c r="C23" s="11" t="s">
        <v>359</v>
      </c>
      <c r="D23" s="11" t="s">
        <v>200</v>
      </c>
      <c r="E23" s="11" t="s">
        <v>463</v>
      </c>
      <c r="F23" s="12">
        <v>100</v>
      </c>
      <c r="G23" s="13">
        <v>0.75</v>
      </c>
      <c r="H23" s="13">
        <v>1</v>
      </c>
      <c r="I23" s="13">
        <v>1.75</v>
      </c>
    </row>
    <row r="24" spans="1:9" x14ac:dyDescent="0.25">
      <c r="A24" s="9" t="s">
        <v>388</v>
      </c>
      <c r="B24" s="10" t="s">
        <v>389</v>
      </c>
      <c r="C24" s="11" t="s">
        <v>359</v>
      </c>
      <c r="D24" s="11" t="s">
        <v>200</v>
      </c>
      <c r="E24" s="11" t="s">
        <v>463</v>
      </c>
      <c r="F24" s="12">
        <v>10</v>
      </c>
      <c r="G24" s="13">
        <v>0.25</v>
      </c>
      <c r="H24" s="13">
        <v>0.5</v>
      </c>
      <c r="I24" s="13">
        <v>0.75</v>
      </c>
    </row>
    <row r="25" spans="1:9" x14ac:dyDescent="0.25">
      <c r="A25" s="9" t="s">
        <v>390</v>
      </c>
      <c r="B25" s="10" t="s">
        <v>391</v>
      </c>
      <c r="C25" s="11" t="s">
        <v>359</v>
      </c>
      <c r="D25" s="11" t="s">
        <v>200</v>
      </c>
      <c r="E25" s="11" t="s">
        <v>463</v>
      </c>
      <c r="F25" s="12">
        <v>100</v>
      </c>
      <c r="G25" s="13">
        <v>0.75</v>
      </c>
      <c r="H25" s="13">
        <v>1</v>
      </c>
      <c r="I25" s="13">
        <v>1.75</v>
      </c>
    </row>
    <row r="26" spans="1:9" x14ac:dyDescent="0.25">
      <c r="A26" s="9" t="s">
        <v>198</v>
      </c>
      <c r="B26" s="10" t="s">
        <v>199</v>
      </c>
      <c r="C26" s="11" t="s">
        <v>201</v>
      </c>
      <c r="D26" s="11" t="s">
        <v>200</v>
      </c>
      <c r="E26" s="11" t="s">
        <v>464</v>
      </c>
      <c r="F26" s="12">
        <v>1000</v>
      </c>
      <c r="G26" s="13">
        <v>5</v>
      </c>
      <c r="H26" s="13">
        <v>2.5</v>
      </c>
      <c r="I26" s="13">
        <v>5</v>
      </c>
    </row>
    <row r="27" spans="1:9" x14ac:dyDescent="0.25">
      <c r="A27" s="9" t="s">
        <v>204</v>
      </c>
      <c r="B27" s="10" t="s">
        <v>205</v>
      </c>
      <c r="C27" s="11" t="s">
        <v>201</v>
      </c>
      <c r="D27" s="11" t="s">
        <v>200</v>
      </c>
      <c r="E27" s="11" t="s">
        <v>464</v>
      </c>
      <c r="F27" s="12">
        <v>1000</v>
      </c>
      <c r="G27" s="13">
        <v>5</v>
      </c>
      <c r="H27" s="13">
        <v>2.5</v>
      </c>
      <c r="I27" s="13">
        <v>5</v>
      </c>
    </row>
    <row r="28" spans="1:9" x14ac:dyDescent="0.25">
      <c r="A28" s="9" t="s">
        <v>207</v>
      </c>
      <c r="B28" s="10" t="s">
        <v>208</v>
      </c>
      <c r="C28" s="11" t="s">
        <v>201</v>
      </c>
      <c r="D28" s="11" t="s">
        <v>200</v>
      </c>
      <c r="E28" s="11" t="s">
        <v>464</v>
      </c>
      <c r="F28" s="12">
        <v>1000</v>
      </c>
      <c r="G28" s="13">
        <v>5</v>
      </c>
      <c r="H28" s="13">
        <v>2.5</v>
      </c>
      <c r="I28" s="13">
        <v>5</v>
      </c>
    </row>
    <row r="29" spans="1:9" x14ac:dyDescent="0.25">
      <c r="A29" s="9" t="s">
        <v>210</v>
      </c>
      <c r="B29" s="10" t="s">
        <v>211</v>
      </c>
      <c r="C29" s="11" t="s">
        <v>201</v>
      </c>
      <c r="D29" s="11" t="s">
        <v>200</v>
      </c>
      <c r="E29" s="11" t="s">
        <v>464</v>
      </c>
      <c r="F29" s="12">
        <v>1000</v>
      </c>
      <c r="G29" s="13">
        <v>5</v>
      </c>
      <c r="H29" s="13">
        <v>2.5</v>
      </c>
      <c r="I29" s="13">
        <v>5</v>
      </c>
    </row>
    <row r="30" spans="1:9" x14ac:dyDescent="0.25">
      <c r="A30" s="9" t="s">
        <v>264</v>
      </c>
      <c r="B30" s="10" t="s">
        <v>265</v>
      </c>
      <c r="C30" s="11" t="s">
        <v>443</v>
      </c>
      <c r="D30" s="11" t="s">
        <v>200</v>
      </c>
      <c r="E30" s="11" t="s">
        <v>464</v>
      </c>
      <c r="F30" s="12">
        <v>1000</v>
      </c>
      <c r="G30" s="13">
        <v>5</v>
      </c>
      <c r="H30" s="13">
        <v>2.5</v>
      </c>
      <c r="I30" s="13">
        <v>5</v>
      </c>
    </row>
    <row r="31" spans="1:9" x14ac:dyDescent="0.25">
      <c r="A31" s="9" t="s">
        <v>266</v>
      </c>
      <c r="B31" s="10" t="s">
        <v>267</v>
      </c>
      <c r="C31" s="11" t="s">
        <v>443</v>
      </c>
      <c r="D31" s="11" t="s">
        <v>200</v>
      </c>
      <c r="E31" s="11" t="s">
        <v>464</v>
      </c>
      <c r="F31" s="12">
        <v>1000</v>
      </c>
      <c r="G31" s="13">
        <v>5</v>
      </c>
      <c r="H31" s="13">
        <v>2.5</v>
      </c>
      <c r="I31" s="13">
        <v>5</v>
      </c>
    </row>
    <row r="32" spans="1:9" x14ac:dyDescent="0.25">
      <c r="A32" s="9" t="s">
        <v>268</v>
      </c>
      <c r="B32" s="10" t="s">
        <v>269</v>
      </c>
      <c r="C32" s="11" t="s">
        <v>443</v>
      </c>
      <c r="D32" s="11" t="s">
        <v>200</v>
      </c>
      <c r="E32" s="11" t="s">
        <v>464</v>
      </c>
      <c r="F32" s="12">
        <v>1000</v>
      </c>
      <c r="G32" s="13">
        <v>5</v>
      </c>
      <c r="H32" s="13">
        <v>2.5</v>
      </c>
      <c r="I32" s="13">
        <v>5</v>
      </c>
    </row>
    <row r="33" spans="1:9" x14ac:dyDescent="0.25">
      <c r="A33" s="9" t="s">
        <v>454</v>
      </c>
      <c r="B33" s="10" t="s">
        <v>455</v>
      </c>
      <c r="C33" s="11" t="s">
        <v>443</v>
      </c>
      <c r="D33" s="11" t="s">
        <v>200</v>
      </c>
      <c r="E33" s="11" t="s">
        <v>464</v>
      </c>
      <c r="F33" s="12">
        <v>1000</v>
      </c>
      <c r="G33" s="13">
        <v>5</v>
      </c>
      <c r="H33" s="13">
        <v>2.5</v>
      </c>
      <c r="I33" s="13">
        <v>5</v>
      </c>
    </row>
    <row r="34" spans="1:9" x14ac:dyDescent="0.25">
      <c r="A34" s="9" t="s">
        <v>461</v>
      </c>
      <c r="B34" s="10" t="s">
        <v>462</v>
      </c>
      <c r="C34" s="11" t="s">
        <v>443</v>
      </c>
      <c r="D34" s="11" t="s">
        <v>200</v>
      </c>
      <c r="E34" s="11" t="s">
        <v>464</v>
      </c>
      <c r="F34" s="12">
        <v>1000</v>
      </c>
      <c r="G34" s="13">
        <v>5</v>
      </c>
      <c r="H34" s="13">
        <v>2.5</v>
      </c>
      <c r="I34" s="13">
        <v>5</v>
      </c>
    </row>
    <row r="35" spans="1:9" x14ac:dyDescent="0.25">
      <c r="A35" s="9" t="s">
        <v>291</v>
      </c>
      <c r="B35" s="10" t="s">
        <v>292</v>
      </c>
      <c r="C35" s="11" t="s">
        <v>293</v>
      </c>
      <c r="D35" s="11" t="s">
        <v>200</v>
      </c>
      <c r="E35" s="11" t="s">
        <v>464</v>
      </c>
      <c r="F35" s="12">
        <v>100</v>
      </c>
      <c r="G35" s="13">
        <v>3</v>
      </c>
      <c r="H35" s="13">
        <v>1.5</v>
      </c>
      <c r="I35" s="13">
        <v>2.5</v>
      </c>
    </row>
    <row r="36" spans="1:9" x14ac:dyDescent="0.25">
      <c r="A36" s="9" t="s">
        <v>294</v>
      </c>
      <c r="B36" s="10" t="s">
        <v>295</v>
      </c>
      <c r="C36" s="11" t="s">
        <v>293</v>
      </c>
      <c r="D36" s="11" t="s">
        <v>200</v>
      </c>
      <c r="E36" s="11" t="s">
        <v>464</v>
      </c>
      <c r="F36" s="12">
        <v>100</v>
      </c>
      <c r="G36" s="13">
        <v>4.5</v>
      </c>
      <c r="H36" s="13">
        <v>2.5</v>
      </c>
      <c r="I36" s="13">
        <v>4</v>
      </c>
    </row>
    <row r="37" spans="1:9" x14ac:dyDescent="0.25">
      <c r="A37" s="9" t="s">
        <v>296</v>
      </c>
      <c r="B37" s="10" t="s">
        <v>297</v>
      </c>
      <c r="C37" s="11" t="s">
        <v>293</v>
      </c>
      <c r="D37" s="11" t="s">
        <v>200</v>
      </c>
      <c r="E37" s="11" t="s">
        <v>464</v>
      </c>
      <c r="F37" s="12">
        <v>100</v>
      </c>
      <c r="G37" s="13">
        <v>4.5</v>
      </c>
      <c r="H37" s="13">
        <v>2.5</v>
      </c>
      <c r="I37" s="13">
        <v>4</v>
      </c>
    </row>
    <row r="38" spans="1:9" x14ac:dyDescent="0.25">
      <c r="A38" s="9" t="s">
        <v>301</v>
      </c>
      <c r="B38" s="10" t="s">
        <v>302</v>
      </c>
      <c r="C38" s="11" t="s">
        <v>293</v>
      </c>
      <c r="D38" s="11" t="s">
        <v>200</v>
      </c>
      <c r="E38" s="11" t="s">
        <v>464</v>
      </c>
      <c r="F38" s="12">
        <v>100</v>
      </c>
      <c r="G38" s="13">
        <v>3</v>
      </c>
      <c r="H38" s="13">
        <v>1.5</v>
      </c>
      <c r="I38" s="13">
        <v>2.5</v>
      </c>
    </row>
    <row r="39" spans="1:9" x14ac:dyDescent="0.25">
      <c r="A39" s="9" t="s">
        <v>303</v>
      </c>
      <c r="B39" s="10" t="s">
        <v>304</v>
      </c>
      <c r="C39" s="11" t="s">
        <v>293</v>
      </c>
      <c r="D39" s="11" t="s">
        <v>200</v>
      </c>
      <c r="E39" s="11" t="s">
        <v>464</v>
      </c>
      <c r="F39" s="12">
        <v>100</v>
      </c>
      <c r="G39" s="13">
        <v>4.5</v>
      </c>
      <c r="H39" s="13">
        <v>2.5</v>
      </c>
      <c r="I39" s="13">
        <v>4</v>
      </c>
    </row>
    <row r="40" spans="1:9" x14ac:dyDescent="0.25">
      <c r="A40" s="9" t="s">
        <v>305</v>
      </c>
      <c r="B40" s="10" t="s">
        <v>164</v>
      </c>
      <c r="C40" s="11" t="s">
        <v>293</v>
      </c>
      <c r="D40" s="11" t="s">
        <v>200</v>
      </c>
      <c r="E40" s="11" t="s">
        <v>464</v>
      </c>
      <c r="F40" s="12">
        <v>100</v>
      </c>
      <c r="G40" s="13">
        <v>4.5</v>
      </c>
      <c r="H40" s="13">
        <v>2.5</v>
      </c>
      <c r="I40" s="13">
        <v>4</v>
      </c>
    </row>
    <row r="41" spans="1:9" x14ac:dyDescent="0.25">
      <c r="A41" s="9" t="s">
        <v>306</v>
      </c>
      <c r="B41" s="10" t="s">
        <v>165</v>
      </c>
      <c r="C41" s="11" t="s">
        <v>293</v>
      </c>
      <c r="D41" s="11" t="s">
        <v>200</v>
      </c>
      <c r="E41" s="11" t="s">
        <v>464</v>
      </c>
      <c r="F41" s="12">
        <v>10</v>
      </c>
      <c r="G41" s="13">
        <v>4.5</v>
      </c>
      <c r="H41" s="13">
        <v>2.5</v>
      </c>
      <c r="I41" s="13">
        <v>4</v>
      </c>
    </row>
    <row r="42" spans="1:9" x14ac:dyDescent="0.25">
      <c r="A42" s="9" t="s">
        <v>307</v>
      </c>
      <c r="B42" s="10" t="s">
        <v>308</v>
      </c>
      <c r="C42" s="11" t="s">
        <v>293</v>
      </c>
      <c r="D42" s="11" t="s">
        <v>200</v>
      </c>
      <c r="E42" s="11" t="s">
        <v>464</v>
      </c>
      <c r="F42" s="12">
        <v>100</v>
      </c>
      <c r="G42" s="13">
        <v>4.5</v>
      </c>
      <c r="H42" s="13">
        <v>2.5</v>
      </c>
      <c r="I42" s="13">
        <v>4</v>
      </c>
    </row>
    <row r="43" spans="1:9" x14ac:dyDescent="0.25">
      <c r="A43" s="9" t="s">
        <v>309</v>
      </c>
      <c r="B43" s="10" t="s">
        <v>176</v>
      </c>
      <c r="C43" s="11" t="s">
        <v>293</v>
      </c>
      <c r="D43" s="11" t="s">
        <v>200</v>
      </c>
      <c r="E43" s="11" t="s">
        <v>464</v>
      </c>
      <c r="F43" s="12">
        <v>100</v>
      </c>
      <c r="G43" s="13">
        <v>4.5</v>
      </c>
      <c r="H43" s="13">
        <v>2.5</v>
      </c>
      <c r="I43" s="13">
        <v>4</v>
      </c>
    </row>
    <row r="44" spans="1:9" x14ac:dyDescent="0.25">
      <c r="A44" s="9" t="s">
        <v>310</v>
      </c>
      <c r="B44" s="10" t="s">
        <v>166</v>
      </c>
      <c r="C44" s="11" t="s">
        <v>293</v>
      </c>
      <c r="D44" s="11" t="s">
        <v>200</v>
      </c>
      <c r="E44" s="11" t="s">
        <v>464</v>
      </c>
      <c r="F44" s="12">
        <v>10</v>
      </c>
      <c r="G44" s="13">
        <v>4.5</v>
      </c>
      <c r="H44" s="13">
        <v>2.5</v>
      </c>
      <c r="I44" s="13">
        <v>4</v>
      </c>
    </row>
    <row r="45" spans="1:9" x14ac:dyDescent="0.25">
      <c r="A45" s="9" t="s">
        <v>318</v>
      </c>
      <c r="B45" s="10" t="s">
        <v>319</v>
      </c>
      <c r="C45" s="11" t="s">
        <v>293</v>
      </c>
      <c r="D45" s="11" t="s">
        <v>200</v>
      </c>
      <c r="E45" s="11" t="s">
        <v>464</v>
      </c>
      <c r="F45" s="12">
        <v>100</v>
      </c>
      <c r="G45" s="13">
        <v>3</v>
      </c>
      <c r="H45" s="13">
        <v>1.5</v>
      </c>
      <c r="I45" s="13">
        <v>2.5</v>
      </c>
    </row>
    <row r="46" spans="1:9" x14ac:dyDescent="0.25">
      <c r="A46" s="9" t="s">
        <v>320</v>
      </c>
      <c r="B46" s="10" t="s">
        <v>321</v>
      </c>
      <c r="C46" s="11" t="s">
        <v>293</v>
      </c>
      <c r="D46" s="11" t="s">
        <v>200</v>
      </c>
      <c r="E46" s="11" t="s">
        <v>464</v>
      </c>
      <c r="F46" s="12">
        <v>100</v>
      </c>
      <c r="G46" s="13">
        <v>4.5</v>
      </c>
      <c r="H46" s="13">
        <v>2.5</v>
      </c>
      <c r="I46" s="13">
        <v>4</v>
      </c>
    </row>
    <row r="47" spans="1:9" x14ac:dyDescent="0.25">
      <c r="A47" s="9" t="s">
        <v>326</v>
      </c>
      <c r="B47" s="10" t="s">
        <v>327</v>
      </c>
      <c r="C47" s="11" t="s">
        <v>293</v>
      </c>
      <c r="D47" s="11" t="s">
        <v>200</v>
      </c>
      <c r="E47" s="11" t="s">
        <v>464</v>
      </c>
      <c r="F47" s="12">
        <v>100</v>
      </c>
      <c r="G47" s="13">
        <v>3</v>
      </c>
      <c r="H47" s="13">
        <v>1.5</v>
      </c>
      <c r="I47" s="13">
        <v>2.5</v>
      </c>
    </row>
    <row r="48" spans="1:9" x14ac:dyDescent="0.25">
      <c r="A48" s="9" t="s">
        <v>328</v>
      </c>
      <c r="B48" s="10" t="s">
        <v>329</v>
      </c>
      <c r="C48" s="11" t="s">
        <v>293</v>
      </c>
      <c r="D48" s="11" t="s">
        <v>200</v>
      </c>
      <c r="E48" s="11" t="s">
        <v>464</v>
      </c>
      <c r="F48" s="12">
        <v>100</v>
      </c>
      <c r="G48" s="13">
        <v>3</v>
      </c>
      <c r="H48" s="13">
        <v>1.5</v>
      </c>
      <c r="I48" s="13">
        <v>2.5</v>
      </c>
    </row>
    <row r="49" spans="1:9" x14ac:dyDescent="0.25">
      <c r="A49" s="9" t="s">
        <v>334</v>
      </c>
      <c r="B49" s="10" t="s">
        <v>335</v>
      </c>
      <c r="C49" s="11" t="s">
        <v>293</v>
      </c>
      <c r="D49" s="11" t="s">
        <v>200</v>
      </c>
      <c r="E49" s="11" t="s">
        <v>464</v>
      </c>
      <c r="F49" s="12">
        <v>100</v>
      </c>
      <c r="G49" s="13">
        <v>3</v>
      </c>
      <c r="H49" s="13">
        <v>1.5</v>
      </c>
      <c r="I49" s="13">
        <v>2.5</v>
      </c>
    </row>
    <row r="50" spans="1:9" x14ac:dyDescent="0.25">
      <c r="A50" s="9" t="s">
        <v>336</v>
      </c>
      <c r="B50" s="10" t="s">
        <v>337</v>
      </c>
      <c r="C50" s="11" t="s">
        <v>293</v>
      </c>
      <c r="D50" s="11" t="s">
        <v>200</v>
      </c>
      <c r="E50" s="11" t="s">
        <v>464</v>
      </c>
      <c r="F50" s="12">
        <v>100</v>
      </c>
      <c r="G50" s="13">
        <v>4.5</v>
      </c>
      <c r="H50" s="13">
        <v>2.5</v>
      </c>
      <c r="I50" s="13">
        <v>4</v>
      </c>
    </row>
    <row r="51" spans="1:9" x14ac:dyDescent="0.25">
      <c r="A51" s="9" t="s">
        <v>346</v>
      </c>
      <c r="B51" s="10" t="s">
        <v>347</v>
      </c>
      <c r="C51" s="11" t="s">
        <v>293</v>
      </c>
      <c r="D51" s="11" t="s">
        <v>200</v>
      </c>
      <c r="E51" s="11" t="s">
        <v>464</v>
      </c>
      <c r="F51" s="12">
        <v>100</v>
      </c>
      <c r="G51" s="13">
        <v>3</v>
      </c>
      <c r="H51" s="13">
        <v>1.5</v>
      </c>
      <c r="I51" s="13">
        <v>2.5</v>
      </c>
    </row>
    <row r="52" spans="1:9" x14ac:dyDescent="0.25">
      <c r="A52" s="9" t="s">
        <v>351</v>
      </c>
      <c r="B52" s="10" t="s">
        <v>352</v>
      </c>
      <c r="C52" s="11" t="s">
        <v>353</v>
      </c>
      <c r="D52" s="11" t="s">
        <v>200</v>
      </c>
      <c r="E52" s="11" t="s">
        <v>464</v>
      </c>
      <c r="F52" s="12">
        <v>100</v>
      </c>
      <c r="G52" s="13">
        <v>4.5</v>
      </c>
      <c r="H52" s="13">
        <v>2.5</v>
      </c>
      <c r="I52" s="13">
        <v>4</v>
      </c>
    </row>
    <row r="53" spans="1:9" x14ac:dyDescent="0.25">
      <c r="A53" s="9" t="s">
        <v>356</v>
      </c>
      <c r="B53" s="10" t="s">
        <v>357</v>
      </c>
      <c r="C53" s="11" t="s">
        <v>359</v>
      </c>
      <c r="D53" s="11" t="s">
        <v>200</v>
      </c>
      <c r="E53" s="11" t="s">
        <v>464</v>
      </c>
      <c r="F53" s="12">
        <v>100</v>
      </c>
      <c r="G53" s="13">
        <v>1.75</v>
      </c>
      <c r="H53" s="13">
        <v>1</v>
      </c>
      <c r="I53" s="13">
        <v>1.75</v>
      </c>
    </row>
    <row r="54" spans="1:9" x14ac:dyDescent="0.25">
      <c r="A54" s="9" t="s">
        <v>360</v>
      </c>
      <c r="B54" s="10" t="s">
        <v>361</v>
      </c>
      <c r="C54" s="11" t="s">
        <v>359</v>
      </c>
      <c r="D54" s="11" t="s">
        <v>200</v>
      </c>
      <c r="E54" s="11" t="s">
        <v>464</v>
      </c>
      <c r="F54" s="12">
        <v>10</v>
      </c>
      <c r="G54" s="13">
        <v>4.5</v>
      </c>
      <c r="H54" s="13">
        <v>2.5</v>
      </c>
      <c r="I54" s="13">
        <v>4</v>
      </c>
    </row>
    <row r="55" spans="1:9" x14ac:dyDescent="0.25">
      <c r="A55" s="9" t="s">
        <v>362</v>
      </c>
      <c r="B55" s="10" t="s">
        <v>363</v>
      </c>
      <c r="C55" s="11" t="s">
        <v>359</v>
      </c>
      <c r="D55" s="11" t="s">
        <v>200</v>
      </c>
      <c r="E55" s="11" t="s">
        <v>464</v>
      </c>
      <c r="F55" s="12">
        <v>100</v>
      </c>
      <c r="G55" s="13">
        <v>1.75</v>
      </c>
      <c r="H55" s="13">
        <v>1</v>
      </c>
      <c r="I55" s="13">
        <v>1.75</v>
      </c>
    </row>
    <row r="56" spans="1:9" x14ac:dyDescent="0.25">
      <c r="A56" s="9" t="s">
        <v>364</v>
      </c>
      <c r="B56" s="10" t="s">
        <v>365</v>
      </c>
      <c r="C56" s="11" t="s">
        <v>359</v>
      </c>
      <c r="D56" s="11" t="s">
        <v>200</v>
      </c>
      <c r="E56" s="11" t="s">
        <v>464</v>
      </c>
      <c r="F56" s="12">
        <v>100</v>
      </c>
      <c r="G56" s="13">
        <v>1.75</v>
      </c>
      <c r="H56" s="13">
        <v>1</v>
      </c>
      <c r="I56" s="13">
        <v>1.75</v>
      </c>
    </row>
    <row r="57" spans="1:9" x14ac:dyDescent="0.25">
      <c r="A57" s="9" t="s">
        <v>366</v>
      </c>
      <c r="B57" s="10" t="s">
        <v>367</v>
      </c>
      <c r="C57" s="11" t="s">
        <v>359</v>
      </c>
      <c r="D57" s="11" t="s">
        <v>200</v>
      </c>
      <c r="E57" s="11" t="s">
        <v>464</v>
      </c>
      <c r="F57" s="12">
        <v>10</v>
      </c>
      <c r="G57" s="13">
        <v>0.5</v>
      </c>
      <c r="H57" s="13">
        <v>0.25</v>
      </c>
      <c r="I57" s="13">
        <v>0.5</v>
      </c>
    </row>
    <row r="58" spans="1:9" x14ac:dyDescent="0.25">
      <c r="A58" s="9" t="s">
        <v>368</v>
      </c>
      <c r="B58" s="10" t="s">
        <v>369</v>
      </c>
      <c r="C58" s="11" t="s">
        <v>359</v>
      </c>
      <c r="D58" s="11" t="s">
        <v>200</v>
      </c>
      <c r="E58" s="11" t="s">
        <v>464</v>
      </c>
      <c r="F58" s="12">
        <v>100</v>
      </c>
      <c r="G58" s="13">
        <v>1.75</v>
      </c>
      <c r="H58" s="13">
        <v>1</v>
      </c>
      <c r="I58" s="13">
        <v>1.75</v>
      </c>
    </row>
    <row r="59" spans="1:9" x14ac:dyDescent="0.25">
      <c r="A59" s="9" t="s">
        <v>372</v>
      </c>
      <c r="B59" s="10" t="s">
        <v>373</v>
      </c>
      <c r="C59" s="11" t="s">
        <v>359</v>
      </c>
      <c r="D59" s="11" t="s">
        <v>200</v>
      </c>
      <c r="E59" s="11" t="s">
        <v>464</v>
      </c>
      <c r="F59" s="12">
        <v>100</v>
      </c>
      <c r="G59" s="13">
        <v>1.75</v>
      </c>
      <c r="H59" s="13">
        <v>1</v>
      </c>
      <c r="I59" s="13">
        <v>1.75</v>
      </c>
    </row>
    <row r="60" spans="1:9" x14ac:dyDescent="0.25">
      <c r="A60" s="9" t="s">
        <v>374</v>
      </c>
      <c r="B60" s="10" t="s">
        <v>375</v>
      </c>
      <c r="C60" s="11" t="s">
        <v>359</v>
      </c>
      <c r="D60" s="11" t="s">
        <v>200</v>
      </c>
      <c r="E60" s="11" t="s">
        <v>464</v>
      </c>
      <c r="F60" s="12">
        <v>10</v>
      </c>
      <c r="G60" s="13">
        <v>4.5</v>
      </c>
      <c r="H60" s="13">
        <v>2.5</v>
      </c>
      <c r="I60" s="13">
        <v>4</v>
      </c>
    </row>
    <row r="61" spans="1:9" x14ac:dyDescent="0.25">
      <c r="A61" s="9" t="s">
        <v>376</v>
      </c>
      <c r="B61" s="10" t="s">
        <v>377</v>
      </c>
      <c r="C61" s="11" t="s">
        <v>359</v>
      </c>
      <c r="D61" s="11" t="s">
        <v>200</v>
      </c>
      <c r="E61" s="11" t="s">
        <v>464</v>
      </c>
      <c r="F61" s="12">
        <v>100</v>
      </c>
      <c r="G61" s="13">
        <v>1.75</v>
      </c>
      <c r="H61" s="13">
        <v>1</v>
      </c>
      <c r="I61" s="13">
        <v>1.75</v>
      </c>
    </row>
    <row r="62" spans="1:9" x14ac:dyDescent="0.25">
      <c r="A62" s="9" t="s">
        <v>379</v>
      </c>
      <c r="B62" s="10" t="s">
        <v>380</v>
      </c>
      <c r="C62" s="11" t="s">
        <v>359</v>
      </c>
      <c r="D62" s="11" t="s">
        <v>200</v>
      </c>
      <c r="E62" s="11" t="s">
        <v>464</v>
      </c>
      <c r="F62" s="12">
        <v>100</v>
      </c>
      <c r="G62" s="13">
        <v>1.75</v>
      </c>
      <c r="H62" s="13">
        <v>1</v>
      </c>
      <c r="I62" s="13">
        <v>1.75</v>
      </c>
    </row>
    <row r="63" spans="1:9" x14ac:dyDescent="0.25">
      <c r="A63" s="9" t="s">
        <v>383</v>
      </c>
      <c r="B63" s="10" t="s">
        <v>384</v>
      </c>
      <c r="C63" s="11" t="s">
        <v>359</v>
      </c>
      <c r="D63" s="11" t="s">
        <v>200</v>
      </c>
      <c r="E63" s="11" t="s">
        <v>464</v>
      </c>
      <c r="F63" s="12">
        <v>100</v>
      </c>
      <c r="G63" s="13">
        <v>1.75</v>
      </c>
      <c r="H63" s="13">
        <v>1</v>
      </c>
      <c r="I63" s="13">
        <v>1.75</v>
      </c>
    </row>
    <row r="64" spans="1:9" x14ac:dyDescent="0.25">
      <c r="A64" s="9" t="s">
        <v>386</v>
      </c>
      <c r="B64" s="10" t="s">
        <v>387</v>
      </c>
      <c r="C64" s="11" t="s">
        <v>359</v>
      </c>
      <c r="D64" s="11" t="s">
        <v>200</v>
      </c>
      <c r="E64" s="11" t="s">
        <v>464</v>
      </c>
      <c r="F64" s="12">
        <v>100</v>
      </c>
      <c r="G64" s="13">
        <v>1.75</v>
      </c>
      <c r="H64" s="13">
        <v>1</v>
      </c>
      <c r="I64" s="13">
        <v>1.75</v>
      </c>
    </row>
    <row r="65" spans="1:9" x14ac:dyDescent="0.25">
      <c r="A65" s="9" t="s">
        <v>388</v>
      </c>
      <c r="B65" s="10" t="s">
        <v>389</v>
      </c>
      <c r="C65" s="11" t="s">
        <v>359</v>
      </c>
      <c r="D65" s="11" t="s">
        <v>200</v>
      </c>
      <c r="E65" s="11" t="s">
        <v>464</v>
      </c>
      <c r="F65" s="12">
        <v>10</v>
      </c>
      <c r="G65" s="13">
        <v>0.5</v>
      </c>
      <c r="H65" s="13">
        <v>0.25</v>
      </c>
      <c r="I65" s="13">
        <v>0.5</v>
      </c>
    </row>
    <row r="66" spans="1:9" x14ac:dyDescent="0.25">
      <c r="A66" s="9" t="s">
        <v>390</v>
      </c>
      <c r="B66" s="10" t="s">
        <v>391</v>
      </c>
      <c r="C66" s="11" t="s">
        <v>359</v>
      </c>
      <c r="D66" s="11" t="s">
        <v>200</v>
      </c>
      <c r="E66" s="11" t="s">
        <v>464</v>
      </c>
      <c r="F66" s="12">
        <v>100</v>
      </c>
      <c r="G66" s="13">
        <v>1.75</v>
      </c>
      <c r="H66" s="13">
        <v>1</v>
      </c>
      <c r="I66" s="13">
        <v>1.75</v>
      </c>
    </row>
  </sheetData>
  <autoFilter ref="A1:I66" xr:uid="{91DA15C9-327E-4F92-B6DD-A8CB46BAD03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0880-DCAD-4A71-9986-44FE69AE1081}">
  <dimension ref="A1:J128"/>
  <sheetViews>
    <sheetView workbookViewId="0">
      <selection activeCell="E3" sqref="E3"/>
    </sheetView>
  </sheetViews>
  <sheetFormatPr defaultRowHeight="15" x14ac:dyDescent="0.25"/>
  <cols>
    <col min="1" max="1" width="9.5703125" bestFit="1" customWidth="1"/>
    <col min="2" max="2" width="30.28515625" bestFit="1" customWidth="1"/>
    <col min="3" max="3" width="11.28515625" bestFit="1" customWidth="1"/>
    <col min="4" max="4" width="8.5703125" bestFit="1" customWidth="1"/>
    <col min="5" max="5" width="16.42578125" bestFit="1" customWidth="1"/>
    <col min="6" max="6" width="5.42578125" bestFit="1" customWidth="1"/>
    <col min="7" max="7" width="4.85546875" bestFit="1" customWidth="1"/>
    <col min="8" max="8" width="8.7109375" bestFit="1" customWidth="1"/>
    <col min="9" max="9" width="24" bestFit="1" customWidth="1"/>
    <col min="10" max="10" width="18.7109375" bestFit="1" customWidth="1"/>
    <col min="11" max="11" width="26" bestFit="1" customWidth="1"/>
  </cols>
  <sheetData>
    <row r="1" spans="1:10" x14ac:dyDescent="0.25">
      <c r="A1" s="4" t="s">
        <v>191</v>
      </c>
      <c r="B1" s="5" t="s">
        <v>192</v>
      </c>
      <c r="C1" s="5" t="s">
        <v>193</v>
      </c>
      <c r="D1" s="5" t="s">
        <v>172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453</v>
      </c>
      <c r="J1" s="5" t="s">
        <v>452</v>
      </c>
    </row>
    <row r="2" spans="1:10" x14ac:dyDescent="0.25">
      <c r="A2" s="9" t="s">
        <v>198</v>
      </c>
      <c r="B2" s="10" t="s">
        <v>199</v>
      </c>
      <c r="C2" s="10" t="s">
        <v>200</v>
      </c>
      <c r="D2" s="10" t="s">
        <v>84</v>
      </c>
      <c r="E2" s="10" t="s">
        <v>201</v>
      </c>
      <c r="F2" s="10" t="s">
        <v>202</v>
      </c>
      <c r="G2" s="26" t="s">
        <v>196</v>
      </c>
      <c r="H2" s="26" t="s">
        <v>203</v>
      </c>
      <c r="I2" s="26"/>
      <c r="J2" s="26"/>
    </row>
    <row r="3" spans="1:10" x14ac:dyDescent="0.25">
      <c r="A3" s="9" t="s">
        <v>204</v>
      </c>
      <c r="B3" s="10" t="s">
        <v>205</v>
      </c>
      <c r="C3" s="10" t="s">
        <v>200</v>
      </c>
      <c r="D3" s="10" t="s">
        <v>84</v>
      </c>
      <c r="E3" s="10" t="s">
        <v>201</v>
      </c>
      <c r="F3" s="10" t="s">
        <v>206</v>
      </c>
      <c r="G3" s="26" t="s">
        <v>196</v>
      </c>
      <c r="H3" s="26" t="s">
        <v>203</v>
      </c>
      <c r="I3" s="26"/>
      <c r="J3" s="26"/>
    </row>
    <row r="4" spans="1:10" x14ac:dyDescent="0.25">
      <c r="A4" s="9" t="s">
        <v>207</v>
      </c>
      <c r="B4" s="10" t="s">
        <v>208</v>
      </c>
      <c r="C4" s="10" t="s">
        <v>200</v>
      </c>
      <c r="D4" s="10" t="s">
        <v>84</v>
      </c>
      <c r="E4" s="10" t="s">
        <v>201</v>
      </c>
      <c r="F4" s="10" t="s">
        <v>202</v>
      </c>
      <c r="G4" s="26" t="s">
        <v>196</v>
      </c>
      <c r="H4" s="26" t="s">
        <v>209</v>
      </c>
      <c r="I4" s="26"/>
      <c r="J4" s="26"/>
    </row>
    <row r="5" spans="1:10" x14ac:dyDescent="0.25">
      <c r="A5" s="9" t="s">
        <v>210</v>
      </c>
      <c r="B5" s="10" t="s">
        <v>211</v>
      </c>
      <c r="C5" s="10" t="s">
        <v>200</v>
      </c>
      <c r="D5" s="10" t="s">
        <v>84</v>
      </c>
      <c r="E5" s="10" t="s">
        <v>201</v>
      </c>
      <c r="F5" s="10" t="s">
        <v>206</v>
      </c>
      <c r="G5" s="26" t="s">
        <v>196</v>
      </c>
      <c r="H5" s="26" t="s">
        <v>209</v>
      </c>
      <c r="I5" s="26"/>
      <c r="J5" s="26"/>
    </row>
    <row r="6" spans="1:10" x14ac:dyDescent="0.25">
      <c r="A6" s="9" t="s">
        <v>212</v>
      </c>
      <c r="B6" s="10" t="s">
        <v>213</v>
      </c>
      <c r="C6" s="10" t="s">
        <v>214</v>
      </c>
      <c r="D6" s="10" t="s">
        <v>84</v>
      </c>
      <c r="E6" s="10" t="s">
        <v>201</v>
      </c>
      <c r="F6" s="10" t="s">
        <v>178</v>
      </c>
      <c r="G6" s="26" t="s">
        <v>445</v>
      </c>
      <c r="H6" s="26" t="s">
        <v>215</v>
      </c>
      <c r="I6" s="26"/>
      <c r="J6" s="26"/>
    </row>
    <row r="7" spans="1:10" x14ac:dyDescent="0.25">
      <c r="A7" s="9" t="s">
        <v>216</v>
      </c>
      <c r="B7" s="10" t="s">
        <v>217</v>
      </c>
      <c r="C7" s="10" t="s">
        <v>214</v>
      </c>
      <c r="D7" s="10" t="s">
        <v>84</v>
      </c>
      <c r="E7" s="10" t="s">
        <v>201</v>
      </c>
      <c r="F7" s="10" t="s">
        <v>202</v>
      </c>
      <c r="G7" s="26" t="s">
        <v>445</v>
      </c>
      <c r="H7" s="26" t="s">
        <v>215</v>
      </c>
      <c r="I7" s="26"/>
      <c r="J7" s="26"/>
    </row>
    <row r="8" spans="1:10" x14ac:dyDescent="0.25">
      <c r="A8" s="9" t="s">
        <v>218</v>
      </c>
      <c r="B8" s="10" t="s">
        <v>219</v>
      </c>
      <c r="C8" s="10" t="s">
        <v>214</v>
      </c>
      <c r="D8" s="10" t="s">
        <v>84</v>
      </c>
      <c r="E8" s="10" t="s">
        <v>201</v>
      </c>
      <c r="F8" s="10" t="s">
        <v>206</v>
      </c>
      <c r="G8" s="26" t="s">
        <v>445</v>
      </c>
      <c r="H8" s="26" t="s">
        <v>215</v>
      </c>
      <c r="I8" s="26"/>
      <c r="J8" s="26"/>
    </row>
    <row r="9" spans="1:10" x14ac:dyDescent="0.25">
      <c r="A9" s="9" t="s">
        <v>220</v>
      </c>
      <c r="B9" s="10" t="s">
        <v>199</v>
      </c>
      <c r="C9" s="10" t="s">
        <v>214</v>
      </c>
      <c r="D9" s="10" t="s">
        <v>84</v>
      </c>
      <c r="E9" s="10" t="s">
        <v>201</v>
      </c>
      <c r="F9" s="10" t="s">
        <v>202</v>
      </c>
      <c r="G9" s="26" t="s">
        <v>196</v>
      </c>
      <c r="H9" s="26" t="s">
        <v>203</v>
      </c>
      <c r="I9" s="26"/>
      <c r="J9" s="26"/>
    </row>
    <row r="10" spans="1:10" x14ac:dyDescent="0.25">
      <c r="A10" s="9" t="s">
        <v>221</v>
      </c>
      <c r="B10" s="10" t="s">
        <v>205</v>
      </c>
      <c r="C10" s="10" t="s">
        <v>214</v>
      </c>
      <c r="D10" s="10" t="s">
        <v>84</v>
      </c>
      <c r="E10" s="10" t="s">
        <v>201</v>
      </c>
      <c r="F10" s="10" t="s">
        <v>206</v>
      </c>
      <c r="G10" s="26" t="s">
        <v>196</v>
      </c>
      <c r="H10" s="26" t="s">
        <v>203</v>
      </c>
      <c r="I10" s="26"/>
      <c r="J10" s="26"/>
    </row>
    <row r="11" spans="1:10" x14ac:dyDescent="0.25">
      <c r="A11" s="9" t="s">
        <v>222</v>
      </c>
      <c r="B11" s="10" t="s">
        <v>208</v>
      </c>
      <c r="C11" s="10" t="s">
        <v>214</v>
      </c>
      <c r="D11" s="10" t="s">
        <v>84</v>
      </c>
      <c r="E11" s="10" t="s">
        <v>201</v>
      </c>
      <c r="F11" s="10" t="s">
        <v>202</v>
      </c>
      <c r="G11" s="26" t="s">
        <v>196</v>
      </c>
      <c r="H11" s="26" t="s">
        <v>209</v>
      </c>
      <c r="I11" s="26"/>
      <c r="J11" s="26"/>
    </row>
    <row r="12" spans="1:10" x14ac:dyDescent="0.25">
      <c r="A12" s="9" t="s">
        <v>223</v>
      </c>
      <c r="B12" s="10" t="s">
        <v>211</v>
      </c>
      <c r="C12" s="10" t="s">
        <v>214</v>
      </c>
      <c r="D12" s="10" t="s">
        <v>84</v>
      </c>
      <c r="E12" s="10" t="s">
        <v>201</v>
      </c>
      <c r="F12" s="10" t="s">
        <v>206</v>
      </c>
      <c r="G12" s="26" t="s">
        <v>196</v>
      </c>
      <c r="H12" s="26" t="s">
        <v>209</v>
      </c>
      <c r="I12" s="26"/>
      <c r="J12" s="26"/>
    </row>
    <row r="13" spans="1:10" x14ac:dyDescent="0.25">
      <c r="A13" s="9" t="s">
        <v>224</v>
      </c>
      <c r="B13" s="10" t="s">
        <v>225</v>
      </c>
      <c r="C13" s="10" t="s">
        <v>214</v>
      </c>
      <c r="D13" s="10" t="s">
        <v>84</v>
      </c>
      <c r="E13" s="10" t="s">
        <v>201</v>
      </c>
      <c r="F13" s="10" t="s">
        <v>178</v>
      </c>
      <c r="G13" s="26" t="s">
        <v>196</v>
      </c>
      <c r="H13" s="26" t="s">
        <v>209</v>
      </c>
      <c r="I13" s="26"/>
      <c r="J13" s="26"/>
    </row>
    <row r="14" spans="1:10" x14ac:dyDescent="0.25">
      <c r="A14" s="9" t="s">
        <v>226</v>
      </c>
      <c r="B14" s="10" t="s">
        <v>199</v>
      </c>
      <c r="C14" s="10" t="s">
        <v>214</v>
      </c>
      <c r="D14" s="10" t="s">
        <v>84</v>
      </c>
      <c r="E14" s="10" t="s">
        <v>201</v>
      </c>
      <c r="F14" s="10" t="s">
        <v>202</v>
      </c>
      <c r="G14" s="26" t="s">
        <v>196</v>
      </c>
      <c r="H14" s="26" t="s">
        <v>203</v>
      </c>
      <c r="I14" s="26"/>
      <c r="J14" s="26"/>
    </row>
    <row r="15" spans="1:10" x14ac:dyDescent="0.25">
      <c r="A15" s="9" t="s">
        <v>227</v>
      </c>
      <c r="B15" s="10" t="s">
        <v>205</v>
      </c>
      <c r="C15" s="10" t="s">
        <v>214</v>
      </c>
      <c r="D15" s="10" t="s">
        <v>84</v>
      </c>
      <c r="E15" s="10" t="s">
        <v>201</v>
      </c>
      <c r="F15" s="10" t="s">
        <v>206</v>
      </c>
      <c r="G15" s="26" t="s">
        <v>196</v>
      </c>
      <c r="H15" s="26" t="s">
        <v>203</v>
      </c>
      <c r="I15" s="26"/>
      <c r="J15" s="26"/>
    </row>
    <row r="16" spans="1:10" x14ac:dyDescent="0.25">
      <c r="A16" s="9" t="s">
        <v>228</v>
      </c>
      <c r="B16" s="10" t="s">
        <v>229</v>
      </c>
      <c r="C16" s="10" t="s">
        <v>214</v>
      </c>
      <c r="D16" s="10" t="s">
        <v>84</v>
      </c>
      <c r="E16" s="10" t="s">
        <v>201</v>
      </c>
      <c r="F16" s="10" t="s">
        <v>202</v>
      </c>
      <c r="G16" s="26" t="s">
        <v>445</v>
      </c>
      <c r="H16" s="26" t="s">
        <v>209</v>
      </c>
      <c r="I16" s="26"/>
      <c r="J16" s="26"/>
    </row>
    <row r="17" spans="1:10" x14ac:dyDescent="0.25">
      <c r="A17" s="9" t="s">
        <v>230</v>
      </c>
      <c r="B17" s="10" t="s">
        <v>231</v>
      </c>
      <c r="C17" s="10" t="s">
        <v>214</v>
      </c>
      <c r="D17" s="10" t="s">
        <v>84</v>
      </c>
      <c r="E17" s="10" t="s">
        <v>201</v>
      </c>
      <c r="F17" s="10" t="s">
        <v>206</v>
      </c>
      <c r="G17" s="26" t="s">
        <v>445</v>
      </c>
      <c r="H17" s="26" t="s">
        <v>209</v>
      </c>
      <c r="I17" s="26"/>
      <c r="J17" s="26"/>
    </row>
    <row r="18" spans="1:10" x14ac:dyDescent="0.25">
      <c r="A18" s="9" t="s">
        <v>232</v>
      </c>
      <c r="B18" s="10" t="s">
        <v>233</v>
      </c>
      <c r="C18" s="10" t="s">
        <v>214</v>
      </c>
      <c r="D18" s="10" t="s">
        <v>84</v>
      </c>
      <c r="E18" s="10" t="s">
        <v>201</v>
      </c>
      <c r="F18" s="10" t="s">
        <v>178</v>
      </c>
      <c r="G18" s="26" t="s">
        <v>445</v>
      </c>
      <c r="H18" s="26" t="s">
        <v>209</v>
      </c>
      <c r="I18" s="26"/>
      <c r="J18" s="26"/>
    </row>
    <row r="19" spans="1:10" x14ac:dyDescent="0.25">
      <c r="A19" s="9" t="s">
        <v>234</v>
      </c>
      <c r="B19" s="10" t="s">
        <v>235</v>
      </c>
      <c r="C19" s="10" t="s">
        <v>214</v>
      </c>
      <c r="D19" s="10" t="s">
        <v>84</v>
      </c>
      <c r="E19" s="10" t="s">
        <v>201</v>
      </c>
      <c r="F19" s="10" t="s">
        <v>202</v>
      </c>
      <c r="G19" s="26" t="s">
        <v>445</v>
      </c>
      <c r="H19" s="26" t="s">
        <v>203</v>
      </c>
      <c r="I19" s="26"/>
      <c r="J19" s="26"/>
    </row>
    <row r="20" spans="1:10" x14ac:dyDescent="0.25">
      <c r="A20" s="9" t="s">
        <v>236</v>
      </c>
      <c r="B20" s="10" t="s">
        <v>237</v>
      </c>
      <c r="C20" s="10" t="s">
        <v>214</v>
      </c>
      <c r="D20" s="10" t="s">
        <v>84</v>
      </c>
      <c r="E20" s="10" t="s">
        <v>201</v>
      </c>
      <c r="F20" s="10" t="s">
        <v>206</v>
      </c>
      <c r="G20" s="26" t="s">
        <v>445</v>
      </c>
      <c r="H20" s="26" t="s">
        <v>203</v>
      </c>
      <c r="I20" s="26"/>
      <c r="J20" s="26"/>
    </row>
    <row r="21" spans="1:10" x14ac:dyDescent="0.25">
      <c r="A21" s="9" t="s">
        <v>238</v>
      </c>
      <c r="B21" s="10" t="s">
        <v>239</v>
      </c>
      <c r="C21" s="10" t="s">
        <v>214</v>
      </c>
      <c r="D21" s="10" t="s">
        <v>84</v>
      </c>
      <c r="E21" s="10" t="s">
        <v>201</v>
      </c>
      <c r="F21" s="10" t="s">
        <v>178</v>
      </c>
      <c r="G21" s="26" t="s">
        <v>445</v>
      </c>
      <c r="H21" s="26" t="s">
        <v>203</v>
      </c>
      <c r="I21" s="26"/>
      <c r="J21" s="26"/>
    </row>
    <row r="22" spans="1:10" x14ac:dyDescent="0.25">
      <c r="A22" s="9" t="s">
        <v>240</v>
      </c>
      <c r="B22" s="10" t="s">
        <v>241</v>
      </c>
      <c r="C22" s="10" t="s">
        <v>214</v>
      </c>
      <c r="D22" s="10" t="s">
        <v>84</v>
      </c>
      <c r="E22" s="10" t="s">
        <v>201</v>
      </c>
      <c r="F22" s="10" t="s">
        <v>178</v>
      </c>
      <c r="G22" s="26" t="s">
        <v>445</v>
      </c>
      <c r="H22" s="26" t="s">
        <v>445</v>
      </c>
      <c r="I22" s="26"/>
      <c r="J22" s="26"/>
    </row>
    <row r="23" spans="1:10" x14ac:dyDescent="0.25">
      <c r="A23" s="9" t="s">
        <v>242</v>
      </c>
      <c r="B23" s="10" t="s">
        <v>243</v>
      </c>
      <c r="C23" s="10" t="s">
        <v>214</v>
      </c>
      <c r="D23" s="10" t="s">
        <v>84</v>
      </c>
      <c r="E23" s="10" t="s">
        <v>201</v>
      </c>
      <c r="F23" s="10" t="s">
        <v>178</v>
      </c>
      <c r="G23" s="26" t="s">
        <v>445</v>
      </c>
      <c r="H23" s="26" t="s">
        <v>445</v>
      </c>
      <c r="I23" s="26"/>
      <c r="J23" s="26"/>
    </row>
    <row r="24" spans="1:10" x14ac:dyDescent="0.25">
      <c r="A24" s="9" t="s">
        <v>400</v>
      </c>
      <c r="B24" s="10" t="s">
        <v>401</v>
      </c>
      <c r="C24" s="10" t="s">
        <v>214</v>
      </c>
      <c r="D24" s="10" t="s">
        <v>84</v>
      </c>
      <c r="E24" s="10" t="s">
        <v>201</v>
      </c>
      <c r="F24" s="10" t="s">
        <v>178</v>
      </c>
      <c r="G24" s="26" t="s">
        <v>196</v>
      </c>
      <c r="H24" s="26" t="s">
        <v>203</v>
      </c>
      <c r="I24" s="26"/>
      <c r="J24" s="26"/>
    </row>
    <row r="25" spans="1:10" x14ac:dyDescent="0.25">
      <c r="A25" s="9" t="s">
        <v>244</v>
      </c>
      <c r="B25" s="10" t="s">
        <v>245</v>
      </c>
      <c r="C25" s="10" t="s">
        <v>214</v>
      </c>
      <c r="D25" s="10" t="s">
        <v>84</v>
      </c>
      <c r="E25" s="10" t="s">
        <v>201</v>
      </c>
      <c r="F25" s="10" t="s">
        <v>202</v>
      </c>
      <c r="G25" s="26" t="s">
        <v>445</v>
      </c>
      <c r="H25" s="26" t="s">
        <v>445</v>
      </c>
      <c r="I25" s="26"/>
      <c r="J25" s="26"/>
    </row>
    <row r="26" spans="1:10" x14ac:dyDescent="0.25">
      <c r="A26" s="9" t="s">
        <v>246</v>
      </c>
      <c r="B26" s="10" t="s">
        <v>247</v>
      </c>
      <c r="C26" s="10" t="s">
        <v>214</v>
      </c>
      <c r="D26" s="10" t="s">
        <v>84</v>
      </c>
      <c r="E26" s="10" t="s">
        <v>201</v>
      </c>
      <c r="F26" s="10" t="s">
        <v>206</v>
      </c>
      <c r="G26" s="26" t="s">
        <v>445</v>
      </c>
      <c r="H26" s="26" t="s">
        <v>445</v>
      </c>
      <c r="I26" s="26"/>
      <c r="J26" s="26"/>
    </row>
    <row r="27" spans="1:10" x14ac:dyDescent="0.25">
      <c r="A27" s="9" t="s">
        <v>248</v>
      </c>
      <c r="B27" s="10" t="s">
        <v>249</v>
      </c>
      <c r="C27" s="10" t="s">
        <v>214</v>
      </c>
      <c r="D27" s="10" t="s">
        <v>84</v>
      </c>
      <c r="E27" s="10" t="s">
        <v>201</v>
      </c>
      <c r="F27" s="10" t="s">
        <v>178</v>
      </c>
      <c r="G27" s="26" t="s">
        <v>445</v>
      </c>
      <c r="H27" s="26" t="s">
        <v>445</v>
      </c>
      <c r="I27" s="26"/>
      <c r="J27" s="26"/>
    </row>
    <row r="28" spans="1:10" x14ac:dyDescent="0.25">
      <c r="A28" s="9" t="s">
        <v>250</v>
      </c>
      <c r="B28" s="10" t="s">
        <v>251</v>
      </c>
      <c r="C28" s="10" t="s">
        <v>214</v>
      </c>
      <c r="D28" s="10" t="s">
        <v>84</v>
      </c>
      <c r="E28" s="10" t="s">
        <v>201</v>
      </c>
      <c r="F28" s="10" t="s">
        <v>202</v>
      </c>
      <c r="G28" s="26" t="s">
        <v>445</v>
      </c>
      <c r="H28" s="26" t="s">
        <v>209</v>
      </c>
      <c r="I28" s="26"/>
      <c r="J28" s="26"/>
    </row>
    <row r="29" spans="1:10" x14ac:dyDescent="0.25">
      <c r="A29" s="9" t="s">
        <v>252</v>
      </c>
      <c r="B29" s="10" t="s">
        <v>253</v>
      </c>
      <c r="C29" s="10" t="s">
        <v>214</v>
      </c>
      <c r="D29" s="10" t="s">
        <v>84</v>
      </c>
      <c r="E29" s="10" t="s">
        <v>201</v>
      </c>
      <c r="F29" s="10" t="s">
        <v>206</v>
      </c>
      <c r="G29" s="26" t="s">
        <v>445</v>
      </c>
      <c r="H29" s="26" t="s">
        <v>209</v>
      </c>
      <c r="I29" s="26"/>
      <c r="J29" s="26"/>
    </row>
    <row r="30" spans="1:10" x14ac:dyDescent="0.25">
      <c r="A30" s="9" t="s">
        <v>254</v>
      </c>
      <c r="B30" s="10" t="s">
        <v>208</v>
      </c>
      <c r="C30" s="10" t="s">
        <v>214</v>
      </c>
      <c r="D30" s="10" t="s">
        <v>84</v>
      </c>
      <c r="E30" s="10" t="s">
        <v>201</v>
      </c>
      <c r="F30" s="10" t="s">
        <v>202</v>
      </c>
      <c r="G30" s="26" t="s">
        <v>196</v>
      </c>
      <c r="H30" s="26" t="s">
        <v>209</v>
      </c>
      <c r="I30" s="26"/>
      <c r="J30" s="26"/>
    </row>
    <row r="31" spans="1:10" x14ac:dyDescent="0.25">
      <c r="A31" s="9" t="s">
        <v>255</v>
      </c>
      <c r="B31" s="10" t="s">
        <v>211</v>
      </c>
      <c r="C31" s="10" t="s">
        <v>214</v>
      </c>
      <c r="D31" s="10" t="s">
        <v>84</v>
      </c>
      <c r="E31" s="10" t="s">
        <v>201</v>
      </c>
      <c r="F31" s="10" t="s">
        <v>206</v>
      </c>
      <c r="G31" s="26" t="s">
        <v>196</v>
      </c>
      <c r="H31" s="26" t="s">
        <v>209</v>
      </c>
      <c r="I31" s="26"/>
      <c r="J31" s="26"/>
    </row>
    <row r="32" spans="1:10" x14ac:dyDescent="0.25">
      <c r="A32" s="9" t="s">
        <v>256</v>
      </c>
      <c r="B32" s="10" t="s">
        <v>257</v>
      </c>
      <c r="C32" s="10" t="s">
        <v>214</v>
      </c>
      <c r="D32" s="10" t="s">
        <v>84</v>
      </c>
      <c r="E32" s="10" t="s">
        <v>201</v>
      </c>
      <c r="F32" s="10" t="s">
        <v>202</v>
      </c>
      <c r="G32" s="26" t="s">
        <v>445</v>
      </c>
      <c r="H32" s="26" t="s">
        <v>203</v>
      </c>
      <c r="I32" s="26"/>
      <c r="J32" s="26"/>
    </row>
    <row r="33" spans="1:10" x14ac:dyDescent="0.25">
      <c r="A33" s="9" t="s">
        <v>258</v>
      </c>
      <c r="B33" s="10" t="s">
        <v>259</v>
      </c>
      <c r="C33" s="10" t="s">
        <v>214</v>
      </c>
      <c r="D33" s="10" t="s">
        <v>84</v>
      </c>
      <c r="E33" s="10" t="s">
        <v>201</v>
      </c>
      <c r="F33" s="10" t="s">
        <v>206</v>
      </c>
      <c r="G33" s="26" t="s">
        <v>445</v>
      </c>
      <c r="H33" s="26" t="s">
        <v>203</v>
      </c>
      <c r="I33" s="26"/>
      <c r="J33" s="26"/>
    </row>
    <row r="34" spans="1:10" x14ac:dyDescent="0.25">
      <c r="A34" s="9" t="s">
        <v>260</v>
      </c>
      <c r="B34" s="10" t="s">
        <v>199</v>
      </c>
      <c r="C34" s="10" t="s">
        <v>214</v>
      </c>
      <c r="D34" s="10" t="s">
        <v>84</v>
      </c>
      <c r="E34" s="10" t="s">
        <v>201</v>
      </c>
      <c r="F34" s="10" t="s">
        <v>202</v>
      </c>
      <c r="G34" s="26" t="s">
        <v>196</v>
      </c>
      <c r="H34" s="26" t="s">
        <v>203</v>
      </c>
      <c r="I34" s="26"/>
      <c r="J34" s="26"/>
    </row>
    <row r="35" spans="1:10" x14ac:dyDescent="0.25">
      <c r="A35" s="9" t="s">
        <v>261</v>
      </c>
      <c r="B35" s="10" t="s">
        <v>205</v>
      </c>
      <c r="C35" s="10" t="s">
        <v>214</v>
      </c>
      <c r="D35" s="10" t="s">
        <v>84</v>
      </c>
      <c r="E35" s="10" t="s">
        <v>201</v>
      </c>
      <c r="F35" s="10" t="s">
        <v>206</v>
      </c>
      <c r="G35" s="26" t="s">
        <v>196</v>
      </c>
      <c r="H35" s="26" t="s">
        <v>203</v>
      </c>
      <c r="I35" s="26"/>
      <c r="J35" s="26"/>
    </row>
    <row r="36" spans="1:10" x14ac:dyDescent="0.25">
      <c r="A36" s="9" t="s">
        <v>262</v>
      </c>
      <c r="B36" s="10" t="s">
        <v>263</v>
      </c>
      <c r="C36" s="10" t="s">
        <v>214</v>
      </c>
      <c r="D36" s="10" t="s">
        <v>84</v>
      </c>
      <c r="E36" s="10" t="s">
        <v>201</v>
      </c>
      <c r="F36" s="10" t="s">
        <v>178</v>
      </c>
      <c r="G36" s="26" t="s">
        <v>196</v>
      </c>
      <c r="H36" s="26" t="s">
        <v>445</v>
      </c>
      <c r="I36" s="26"/>
      <c r="J36" s="26"/>
    </row>
    <row r="37" spans="1:10" x14ac:dyDescent="0.25">
      <c r="A37" s="9" t="s">
        <v>264</v>
      </c>
      <c r="B37" s="10" t="s">
        <v>265</v>
      </c>
      <c r="C37" s="10" t="s">
        <v>200</v>
      </c>
      <c r="D37" s="10" t="s">
        <v>449</v>
      </c>
      <c r="E37" s="10" t="s">
        <v>443</v>
      </c>
      <c r="F37" s="10" t="s">
        <v>178</v>
      </c>
      <c r="G37" s="26" t="s">
        <v>196</v>
      </c>
      <c r="H37" s="26" t="s">
        <v>203</v>
      </c>
      <c r="I37" s="26"/>
      <c r="J37" s="26"/>
    </row>
    <row r="38" spans="1:10" x14ac:dyDescent="0.25">
      <c r="A38" s="9" t="s">
        <v>266</v>
      </c>
      <c r="B38" s="10" t="s">
        <v>267</v>
      </c>
      <c r="C38" s="10" t="s">
        <v>200</v>
      </c>
      <c r="D38" s="10" t="s">
        <v>449</v>
      </c>
      <c r="E38" s="10" t="s">
        <v>443</v>
      </c>
      <c r="F38" s="10" t="s">
        <v>202</v>
      </c>
      <c r="G38" s="26" t="s">
        <v>196</v>
      </c>
      <c r="H38" s="26" t="s">
        <v>203</v>
      </c>
      <c r="I38" s="26"/>
      <c r="J38" s="26"/>
    </row>
    <row r="39" spans="1:10" x14ac:dyDescent="0.25">
      <c r="A39" s="9" t="s">
        <v>268</v>
      </c>
      <c r="B39" s="10" t="s">
        <v>269</v>
      </c>
      <c r="C39" s="10" t="s">
        <v>200</v>
      </c>
      <c r="D39" s="10" t="s">
        <v>449</v>
      </c>
      <c r="E39" s="10" t="s">
        <v>443</v>
      </c>
      <c r="F39" s="10" t="s">
        <v>206</v>
      </c>
      <c r="G39" s="26" t="s">
        <v>196</v>
      </c>
      <c r="H39" s="26" t="s">
        <v>203</v>
      </c>
      <c r="I39" s="26"/>
      <c r="J39" s="26"/>
    </row>
    <row r="40" spans="1:10" x14ac:dyDescent="0.25">
      <c r="A40" s="9" t="s">
        <v>270</v>
      </c>
      <c r="B40" s="10" t="s">
        <v>271</v>
      </c>
      <c r="C40" s="10" t="s">
        <v>214</v>
      </c>
      <c r="D40" s="10" t="s">
        <v>449</v>
      </c>
      <c r="E40" s="10" t="s">
        <v>443</v>
      </c>
      <c r="F40" s="10" t="s">
        <v>178</v>
      </c>
      <c r="G40" s="26" t="s">
        <v>445</v>
      </c>
      <c r="H40" s="26" t="s">
        <v>272</v>
      </c>
      <c r="I40" s="26"/>
      <c r="J40" s="26"/>
    </row>
    <row r="41" spans="1:10" x14ac:dyDescent="0.25">
      <c r="A41" s="9" t="s">
        <v>273</v>
      </c>
      <c r="B41" s="10" t="s">
        <v>274</v>
      </c>
      <c r="C41" s="10" t="s">
        <v>214</v>
      </c>
      <c r="D41" s="10" t="s">
        <v>449</v>
      </c>
      <c r="E41" s="10" t="s">
        <v>443</v>
      </c>
      <c r="F41" s="10" t="s">
        <v>202</v>
      </c>
      <c r="G41" s="26" t="s">
        <v>196</v>
      </c>
      <c r="H41" s="26" t="s">
        <v>272</v>
      </c>
      <c r="I41" s="26"/>
      <c r="J41" s="26"/>
    </row>
    <row r="42" spans="1:10" x14ac:dyDescent="0.25">
      <c r="A42" s="9" t="s">
        <v>275</v>
      </c>
      <c r="B42" s="10" t="s">
        <v>276</v>
      </c>
      <c r="C42" s="10" t="s">
        <v>214</v>
      </c>
      <c r="D42" s="10" t="s">
        <v>449</v>
      </c>
      <c r="E42" s="10" t="s">
        <v>443</v>
      </c>
      <c r="F42" s="10" t="s">
        <v>206</v>
      </c>
      <c r="G42" s="26" t="s">
        <v>196</v>
      </c>
      <c r="H42" s="26" t="s">
        <v>272</v>
      </c>
      <c r="I42" s="26"/>
      <c r="J42" s="26"/>
    </row>
    <row r="43" spans="1:10" x14ac:dyDescent="0.25">
      <c r="A43" s="9" t="s">
        <v>277</v>
      </c>
      <c r="B43" s="10" t="s">
        <v>278</v>
      </c>
      <c r="C43" s="10" t="s">
        <v>214</v>
      </c>
      <c r="D43" s="10" t="s">
        <v>449</v>
      </c>
      <c r="E43" s="10" t="s">
        <v>443</v>
      </c>
      <c r="F43" s="10" t="s">
        <v>202</v>
      </c>
      <c r="G43" s="26" t="s">
        <v>196</v>
      </c>
      <c r="H43" s="26" t="s">
        <v>209</v>
      </c>
      <c r="I43" s="26"/>
      <c r="J43" s="26"/>
    </row>
    <row r="44" spans="1:10" x14ac:dyDescent="0.25">
      <c r="A44" s="9" t="s">
        <v>279</v>
      </c>
      <c r="B44" s="10" t="s">
        <v>280</v>
      </c>
      <c r="C44" s="10" t="s">
        <v>214</v>
      </c>
      <c r="D44" s="10" t="s">
        <v>449</v>
      </c>
      <c r="E44" s="10" t="s">
        <v>443</v>
      </c>
      <c r="F44" s="10" t="s">
        <v>206</v>
      </c>
      <c r="G44" s="26" t="s">
        <v>196</v>
      </c>
      <c r="H44" s="26" t="s">
        <v>209</v>
      </c>
      <c r="I44" s="26"/>
      <c r="J44" s="26"/>
    </row>
    <row r="45" spans="1:10" x14ac:dyDescent="0.25">
      <c r="A45" s="9" t="s">
        <v>281</v>
      </c>
      <c r="B45" s="10" t="s">
        <v>282</v>
      </c>
      <c r="C45" s="10" t="s">
        <v>214</v>
      </c>
      <c r="D45" s="10" t="s">
        <v>449</v>
      </c>
      <c r="E45" s="10" t="s">
        <v>443</v>
      </c>
      <c r="F45" s="10" t="s">
        <v>202</v>
      </c>
      <c r="G45" s="26" t="s">
        <v>196</v>
      </c>
      <c r="H45" s="26" t="s">
        <v>203</v>
      </c>
      <c r="I45" s="26"/>
      <c r="J45" s="26"/>
    </row>
    <row r="46" spans="1:10" x14ac:dyDescent="0.25">
      <c r="A46" s="9" t="s">
        <v>283</v>
      </c>
      <c r="B46" s="10" t="s">
        <v>284</v>
      </c>
      <c r="C46" s="10" t="s">
        <v>214</v>
      </c>
      <c r="D46" s="10" t="s">
        <v>449</v>
      </c>
      <c r="E46" s="10" t="s">
        <v>443</v>
      </c>
      <c r="F46" s="10" t="s">
        <v>206</v>
      </c>
      <c r="G46" s="26" t="s">
        <v>196</v>
      </c>
      <c r="H46" s="26" t="s">
        <v>203</v>
      </c>
      <c r="I46" s="26"/>
      <c r="J46" s="26"/>
    </row>
    <row r="47" spans="1:10" x14ac:dyDescent="0.25">
      <c r="A47" s="9" t="s">
        <v>285</v>
      </c>
      <c r="B47" s="10" t="s">
        <v>286</v>
      </c>
      <c r="C47" s="10" t="s">
        <v>214</v>
      </c>
      <c r="D47" s="10" t="s">
        <v>449</v>
      </c>
      <c r="E47" s="10" t="s">
        <v>443</v>
      </c>
      <c r="F47" s="10" t="s">
        <v>178</v>
      </c>
      <c r="G47" s="26" t="s">
        <v>196</v>
      </c>
      <c r="H47" s="26" t="s">
        <v>203</v>
      </c>
      <c r="I47" s="26"/>
      <c r="J47" s="26"/>
    </row>
    <row r="48" spans="1:10" x14ac:dyDescent="0.25">
      <c r="A48" s="9" t="s">
        <v>287</v>
      </c>
      <c r="B48" s="10" t="s">
        <v>288</v>
      </c>
      <c r="C48" s="10" t="s">
        <v>214</v>
      </c>
      <c r="D48" s="10" t="s">
        <v>449</v>
      </c>
      <c r="E48" s="10" t="s">
        <v>443</v>
      </c>
      <c r="F48" s="10" t="s">
        <v>178</v>
      </c>
      <c r="G48" s="26" t="s">
        <v>445</v>
      </c>
      <c r="H48" s="26" t="s">
        <v>203</v>
      </c>
      <c r="I48" s="26"/>
      <c r="J48" s="26"/>
    </row>
    <row r="49" spans="1:10" x14ac:dyDescent="0.25">
      <c r="A49" s="9" t="s">
        <v>446</v>
      </c>
      <c r="B49" s="10" t="s">
        <v>208</v>
      </c>
      <c r="C49" s="10" t="s">
        <v>214</v>
      </c>
      <c r="D49" s="10" t="s">
        <v>84</v>
      </c>
      <c r="E49" s="10" t="s">
        <v>201</v>
      </c>
      <c r="F49" s="10" t="s">
        <v>202</v>
      </c>
      <c r="G49" s="26" t="s">
        <v>196</v>
      </c>
      <c r="H49" s="26" t="s">
        <v>209</v>
      </c>
      <c r="I49" s="26"/>
      <c r="J49" s="26"/>
    </row>
    <row r="50" spans="1:10" x14ac:dyDescent="0.25">
      <c r="A50" s="9" t="s">
        <v>447</v>
      </c>
      <c r="B50" s="10" t="s">
        <v>211</v>
      </c>
      <c r="C50" s="10" t="s">
        <v>214</v>
      </c>
      <c r="D50" s="10" t="s">
        <v>84</v>
      </c>
      <c r="E50" s="10" t="s">
        <v>201</v>
      </c>
      <c r="F50" s="10" t="s">
        <v>206</v>
      </c>
      <c r="G50" s="26" t="s">
        <v>196</v>
      </c>
      <c r="H50" s="26" t="s">
        <v>209</v>
      </c>
      <c r="I50" s="26"/>
      <c r="J50" s="26"/>
    </row>
    <row r="51" spans="1:10" x14ac:dyDescent="0.25">
      <c r="A51" s="9" t="s">
        <v>289</v>
      </c>
      <c r="B51" s="10" t="s">
        <v>271</v>
      </c>
      <c r="C51" s="10" t="s">
        <v>214</v>
      </c>
      <c r="D51" s="10" t="s">
        <v>290</v>
      </c>
      <c r="E51" s="10" t="s">
        <v>444</v>
      </c>
      <c r="F51" s="10" t="s">
        <v>178</v>
      </c>
      <c r="G51" s="26" t="s">
        <v>445</v>
      </c>
      <c r="H51" s="26" t="s">
        <v>272</v>
      </c>
      <c r="I51" s="26"/>
      <c r="J51" s="26"/>
    </row>
    <row r="52" spans="1:10" x14ac:dyDescent="0.25">
      <c r="A52" s="9" t="s">
        <v>291</v>
      </c>
      <c r="B52" s="10" t="s">
        <v>292</v>
      </c>
      <c r="C52" s="10" t="s">
        <v>200</v>
      </c>
      <c r="D52" s="10" t="s">
        <v>96</v>
      </c>
      <c r="E52" s="10" t="s">
        <v>293</v>
      </c>
      <c r="F52" s="10" t="s">
        <v>178</v>
      </c>
      <c r="G52" s="26" t="s">
        <v>445</v>
      </c>
      <c r="H52" s="26" t="s">
        <v>445</v>
      </c>
      <c r="I52" s="26"/>
      <c r="J52" s="26"/>
    </row>
    <row r="53" spans="1:10" x14ac:dyDescent="0.25">
      <c r="A53" s="9" t="s">
        <v>294</v>
      </c>
      <c r="B53" s="10" t="s">
        <v>295</v>
      </c>
      <c r="C53" s="10" t="s">
        <v>200</v>
      </c>
      <c r="D53" s="10" t="s">
        <v>96</v>
      </c>
      <c r="E53" s="10" t="s">
        <v>293</v>
      </c>
      <c r="F53" s="10" t="s">
        <v>178</v>
      </c>
      <c r="G53" s="26" t="s">
        <v>445</v>
      </c>
      <c r="H53" s="26" t="s">
        <v>445</v>
      </c>
      <c r="I53" s="26"/>
      <c r="J53" s="26"/>
    </row>
    <row r="54" spans="1:10" x14ac:dyDescent="0.25">
      <c r="A54" s="9" t="s">
        <v>296</v>
      </c>
      <c r="B54" s="10" t="s">
        <v>297</v>
      </c>
      <c r="C54" s="10" t="s">
        <v>200</v>
      </c>
      <c r="D54" s="10" t="s">
        <v>96</v>
      </c>
      <c r="E54" s="10" t="s">
        <v>293</v>
      </c>
      <c r="F54" s="10" t="s">
        <v>178</v>
      </c>
      <c r="G54" s="26" t="s">
        <v>445</v>
      </c>
      <c r="H54" s="26" t="s">
        <v>445</v>
      </c>
      <c r="I54" s="26"/>
      <c r="J54" s="26"/>
    </row>
    <row r="55" spans="1:10" x14ac:dyDescent="0.25">
      <c r="A55" s="20" t="s">
        <v>298</v>
      </c>
      <c r="B55" s="21" t="s">
        <v>292</v>
      </c>
      <c r="C55" s="21" t="s">
        <v>214</v>
      </c>
      <c r="D55" s="21" t="s">
        <v>96</v>
      </c>
      <c r="E55" s="21" t="s">
        <v>293</v>
      </c>
      <c r="F55" s="21" t="s">
        <v>178</v>
      </c>
      <c r="G55" s="22" t="s">
        <v>445</v>
      </c>
      <c r="H55" s="22" t="s">
        <v>445</v>
      </c>
      <c r="I55" s="22" t="s">
        <v>477</v>
      </c>
      <c r="J55" s="22" t="s">
        <v>476</v>
      </c>
    </row>
    <row r="56" spans="1:10" x14ac:dyDescent="0.25">
      <c r="A56" s="20" t="s">
        <v>299</v>
      </c>
      <c r="B56" s="21" t="s">
        <v>295</v>
      </c>
      <c r="C56" s="21" t="s">
        <v>214</v>
      </c>
      <c r="D56" s="21" t="s">
        <v>96</v>
      </c>
      <c r="E56" s="21" t="s">
        <v>293</v>
      </c>
      <c r="F56" s="21" t="s">
        <v>178</v>
      </c>
      <c r="G56" s="22" t="s">
        <v>445</v>
      </c>
      <c r="H56" s="22" t="s">
        <v>445</v>
      </c>
      <c r="I56" s="22" t="s">
        <v>477</v>
      </c>
      <c r="J56" s="22" t="s">
        <v>476</v>
      </c>
    </row>
    <row r="57" spans="1:10" x14ac:dyDescent="0.25">
      <c r="A57" s="20" t="s">
        <v>300</v>
      </c>
      <c r="B57" s="21" t="s">
        <v>297</v>
      </c>
      <c r="C57" s="21" t="s">
        <v>214</v>
      </c>
      <c r="D57" s="21" t="s">
        <v>96</v>
      </c>
      <c r="E57" s="21" t="s">
        <v>293</v>
      </c>
      <c r="F57" s="21" t="s">
        <v>178</v>
      </c>
      <c r="G57" s="22" t="s">
        <v>445</v>
      </c>
      <c r="H57" s="22" t="s">
        <v>445</v>
      </c>
      <c r="I57" s="22" t="s">
        <v>477</v>
      </c>
      <c r="J57" s="22" t="s">
        <v>476</v>
      </c>
    </row>
    <row r="58" spans="1:10" x14ac:dyDescent="0.25">
      <c r="A58" s="9" t="s">
        <v>301</v>
      </c>
      <c r="B58" s="10" t="s">
        <v>302</v>
      </c>
      <c r="C58" s="10" t="s">
        <v>200</v>
      </c>
      <c r="D58" s="10" t="s">
        <v>142</v>
      </c>
      <c r="E58" s="10" t="s">
        <v>293</v>
      </c>
      <c r="F58" s="10" t="s">
        <v>178</v>
      </c>
      <c r="G58" s="26" t="s">
        <v>445</v>
      </c>
      <c r="H58" s="26" t="s">
        <v>445</v>
      </c>
      <c r="I58" s="26"/>
      <c r="J58" s="26"/>
    </row>
    <row r="59" spans="1:10" x14ac:dyDescent="0.25">
      <c r="A59" s="9" t="s">
        <v>303</v>
      </c>
      <c r="B59" s="10" t="s">
        <v>304</v>
      </c>
      <c r="C59" s="10" t="s">
        <v>200</v>
      </c>
      <c r="D59" s="10" t="s">
        <v>142</v>
      </c>
      <c r="E59" s="10" t="s">
        <v>293</v>
      </c>
      <c r="F59" s="10" t="s">
        <v>178</v>
      </c>
      <c r="G59" s="26" t="s">
        <v>445</v>
      </c>
      <c r="H59" s="26" t="s">
        <v>445</v>
      </c>
      <c r="I59" s="26"/>
      <c r="J59" s="26"/>
    </row>
    <row r="60" spans="1:10" x14ac:dyDescent="0.25">
      <c r="A60" s="9" t="s">
        <v>305</v>
      </c>
      <c r="B60" s="10" t="s">
        <v>164</v>
      </c>
      <c r="C60" s="10" t="s">
        <v>200</v>
      </c>
      <c r="D60" s="10" t="s">
        <v>142</v>
      </c>
      <c r="E60" s="10" t="s">
        <v>293</v>
      </c>
      <c r="F60" s="10" t="s">
        <v>178</v>
      </c>
      <c r="G60" s="26" t="s">
        <v>445</v>
      </c>
      <c r="H60" s="26" t="s">
        <v>445</v>
      </c>
      <c r="I60" s="26"/>
      <c r="J60" s="26"/>
    </row>
    <row r="61" spans="1:10" x14ac:dyDescent="0.25">
      <c r="A61" s="9" t="s">
        <v>306</v>
      </c>
      <c r="B61" s="10" t="s">
        <v>165</v>
      </c>
      <c r="C61" s="10" t="s">
        <v>200</v>
      </c>
      <c r="D61" s="10" t="s">
        <v>142</v>
      </c>
      <c r="E61" s="10" t="s">
        <v>293</v>
      </c>
      <c r="F61" s="10" t="s">
        <v>178</v>
      </c>
      <c r="G61" s="26" t="s">
        <v>445</v>
      </c>
      <c r="H61" s="26" t="s">
        <v>445</v>
      </c>
      <c r="I61" s="26"/>
      <c r="J61" s="26"/>
    </row>
    <row r="62" spans="1:10" x14ac:dyDescent="0.25">
      <c r="A62" s="9" t="s">
        <v>307</v>
      </c>
      <c r="B62" s="10" t="s">
        <v>308</v>
      </c>
      <c r="C62" s="10" t="s">
        <v>200</v>
      </c>
      <c r="D62" s="10" t="s">
        <v>142</v>
      </c>
      <c r="E62" s="10" t="s">
        <v>293</v>
      </c>
      <c r="F62" s="10" t="s">
        <v>178</v>
      </c>
      <c r="G62" s="26" t="s">
        <v>445</v>
      </c>
      <c r="H62" s="26" t="s">
        <v>445</v>
      </c>
      <c r="I62" s="26"/>
      <c r="J62" s="26"/>
    </row>
    <row r="63" spans="1:10" x14ac:dyDescent="0.25">
      <c r="A63" s="9" t="s">
        <v>309</v>
      </c>
      <c r="B63" s="10" t="s">
        <v>176</v>
      </c>
      <c r="C63" s="10" t="s">
        <v>200</v>
      </c>
      <c r="D63" s="10" t="s">
        <v>142</v>
      </c>
      <c r="E63" s="10" t="s">
        <v>293</v>
      </c>
      <c r="F63" s="10" t="s">
        <v>178</v>
      </c>
      <c r="G63" s="26" t="s">
        <v>445</v>
      </c>
      <c r="H63" s="26" t="s">
        <v>445</v>
      </c>
      <c r="I63" s="26"/>
      <c r="J63" s="26"/>
    </row>
    <row r="64" spans="1:10" x14ac:dyDescent="0.25">
      <c r="A64" s="9" t="s">
        <v>310</v>
      </c>
      <c r="B64" s="10" t="s">
        <v>166</v>
      </c>
      <c r="C64" s="10" t="s">
        <v>200</v>
      </c>
      <c r="D64" s="10" t="s">
        <v>142</v>
      </c>
      <c r="E64" s="10" t="s">
        <v>293</v>
      </c>
      <c r="F64" s="10" t="s">
        <v>178</v>
      </c>
      <c r="G64" s="26" t="s">
        <v>445</v>
      </c>
      <c r="H64" s="26" t="s">
        <v>445</v>
      </c>
      <c r="I64" s="26"/>
      <c r="J64" s="26"/>
    </row>
    <row r="65" spans="1:10" x14ac:dyDescent="0.25">
      <c r="A65" s="9" t="s">
        <v>311</v>
      </c>
      <c r="B65" s="10" t="s">
        <v>164</v>
      </c>
      <c r="C65" s="10" t="s">
        <v>214</v>
      </c>
      <c r="D65" s="10" t="s">
        <v>142</v>
      </c>
      <c r="E65" s="10" t="s">
        <v>293</v>
      </c>
      <c r="F65" s="10" t="s">
        <v>178</v>
      </c>
      <c r="G65" s="26" t="s">
        <v>445</v>
      </c>
      <c r="H65" s="26" t="s">
        <v>445</v>
      </c>
      <c r="I65" s="16" t="s">
        <v>477</v>
      </c>
      <c r="J65" s="16" t="s">
        <v>476</v>
      </c>
    </row>
    <row r="66" spans="1:10" x14ac:dyDescent="0.25">
      <c r="A66" s="9" t="s">
        <v>312</v>
      </c>
      <c r="B66" s="10" t="s">
        <v>176</v>
      </c>
      <c r="C66" s="10" t="s">
        <v>214</v>
      </c>
      <c r="D66" s="10" t="s">
        <v>142</v>
      </c>
      <c r="E66" s="10" t="s">
        <v>293</v>
      </c>
      <c r="F66" s="10" t="s">
        <v>178</v>
      </c>
      <c r="G66" s="26" t="s">
        <v>445</v>
      </c>
      <c r="H66" s="26" t="s">
        <v>445</v>
      </c>
      <c r="I66" s="16" t="s">
        <v>477</v>
      </c>
      <c r="J66" s="16" t="s">
        <v>476</v>
      </c>
    </row>
    <row r="67" spans="1:10" x14ac:dyDescent="0.25">
      <c r="A67" s="9" t="s">
        <v>313</v>
      </c>
      <c r="B67" s="10" t="s">
        <v>302</v>
      </c>
      <c r="C67" s="10" t="s">
        <v>214</v>
      </c>
      <c r="D67" s="10" t="s">
        <v>142</v>
      </c>
      <c r="E67" s="10" t="s">
        <v>293</v>
      </c>
      <c r="F67" s="10" t="s">
        <v>178</v>
      </c>
      <c r="G67" s="26" t="s">
        <v>445</v>
      </c>
      <c r="H67" s="26" t="s">
        <v>445</v>
      </c>
      <c r="I67" s="16" t="s">
        <v>477</v>
      </c>
      <c r="J67" s="16" t="s">
        <v>476</v>
      </c>
    </row>
    <row r="68" spans="1:10" x14ac:dyDescent="0.25">
      <c r="A68" s="9" t="s">
        <v>314</v>
      </c>
      <c r="B68" s="10" t="s">
        <v>304</v>
      </c>
      <c r="C68" s="10" t="s">
        <v>214</v>
      </c>
      <c r="D68" s="10" t="s">
        <v>142</v>
      </c>
      <c r="E68" s="10" t="s">
        <v>293</v>
      </c>
      <c r="F68" s="10" t="s">
        <v>178</v>
      </c>
      <c r="G68" s="26" t="s">
        <v>445</v>
      </c>
      <c r="H68" s="26" t="s">
        <v>445</v>
      </c>
      <c r="I68" s="16" t="s">
        <v>477</v>
      </c>
      <c r="J68" s="16" t="s">
        <v>476</v>
      </c>
    </row>
    <row r="69" spans="1:10" x14ac:dyDescent="0.25">
      <c r="A69" s="9" t="s">
        <v>315</v>
      </c>
      <c r="B69" s="10" t="s">
        <v>308</v>
      </c>
      <c r="C69" s="10" t="s">
        <v>214</v>
      </c>
      <c r="D69" s="10" t="s">
        <v>142</v>
      </c>
      <c r="E69" s="10" t="s">
        <v>293</v>
      </c>
      <c r="F69" s="10" t="s">
        <v>178</v>
      </c>
      <c r="G69" s="26" t="s">
        <v>445</v>
      </c>
      <c r="H69" s="26" t="s">
        <v>445</v>
      </c>
      <c r="I69" s="16" t="s">
        <v>477</v>
      </c>
      <c r="J69" s="16" t="s">
        <v>476</v>
      </c>
    </row>
    <row r="70" spans="1:10" x14ac:dyDescent="0.25">
      <c r="A70" s="9" t="s">
        <v>316</v>
      </c>
      <c r="B70" s="10" t="s">
        <v>165</v>
      </c>
      <c r="C70" s="10" t="s">
        <v>214</v>
      </c>
      <c r="D70" s="10" t="s">
        <v>142</v>
      </c>
      <c r="E70" s="10" t="s">
        <v>293</v>
      </c>
      <c r="F70" s="10" t="s">
        <v>178</v>
      </c>
      <c r="G70" s="26" t="s">
        <v>445</v>
      </c>
      <c r="H70" s="26" t="s">
        <v>445</v>
      </c>
      <c r="I70" s="16" t="s">
        <v>477</v>
      </c>
      <c r="J70" s="16" t="s">
        <v>476</v>
      </c>
    </row>
    <row r="71" spans="1:10" x14ac:dyDescent="0.25">
      <c r="A71" s="9" t="s">
        <v>317</v>
      </c>
      <c r="B71" s="10" t="s">
        <v>166</v>
      </c>
      <c r="C71" s="10" t="s">
        <v>214</v>
      </c>
      <c r="D71" s="10" t="s">
        <v>142</v>
      </c>
      <c r="E71" s="10" t="s">
        <v>293</v>
      </c>
      <c r="F71" s="10" t="s">
        <v>178</v>
      </c>
      <c r="G71" s="26" t="s">
        <v>445</v>
      </c>
      <c r="H71" s="26" t="s">
        <v>445</v>
      </c>
      <c r="I71" s="16" t="s">
        <v>477</v>
      </c>
      <c r="J71" s="16" t="s">
        <v>476</v>
      </c>
    </row>
    <row r="72" spans="1:10" x14ac:dyDescent="0.25">
      <c r="A72" s="9" t="s">
        <v>318</v>
      </c>
      <c r="B72" s="10" t="s">
        <v>319</v>
      </c>
      <c r="C72" s="10" t="s">
        <v>200</v>
      </c>
      <c r="D72" s="10" t="s">
        <v>111</v>
      </c>
      <c r="E72" s="10" t="s">
        <v>293</v>
      </c>
      <c r="F72" s="10" t="s">
        <v>178</v>
      </c>
      <c r="G72" s="26" t="s">
        <v>445</v>
      </c>
      <c r="H72" s="26" t="s">
        <v>445</v>
      </c>
      <c r="I72" s="26"/>
      <c r="J72" s="26"/>
    </row>
    <row r="73" spans="1:10" x14ac:dyDescent="0.25">
      <c r="A73" s="9" t="s">
        <v>320</v>
      </c>
      <c r="B73" s="10" t="s">
        <v>321</v>
      </c>
      <c r="C73" s="10" t="s">
        <v>200</v>
      </c>
      <c r="D73" s="10" t="s">
        <v>111</v>
      </c>
      <c r="E73" s="10" t="s">
        <v>293</v>
      </c>
      <c r="F73" s="10" t="s">
        <v>178</v>
      </c>
      <c r="G73" s="26" t="s">
        <v>445</v>
      </c>
      <c r="H73" s="26" t="s">
        <v>445</v>
      </c>
      <c r="I73" s="26"/>
      <c r="J73" s="26"/>
    </row>
    <row r="74" spans="1:10" x14ac:dyDescent="0.25">
      <c r="A74" s="9" t="s">
        <v>322</v>
      </c>
      <c r="B74" s="10" t="s">
        <v>323</v>
      </c>
      <c r="C74" s="10" t="s">
        <v>214</v>
      </c>
      <c r="D74" s="10" t="s">
        <v>111</v>
      </c>
      <c r="E74" s="10" t="s">
        <v>293</v>
      </c>
      <c r="F74" s="10" t="s">
        <v>178</v>
      </c>
      <c r="G74" s="26" t="s">
        <v>445</v>
      </c>
      <c r="H74" s="26" t="s">
        <v>445</v>
      </c>
      <c r="I74" s="16" t="s">
        <v>477</v>
      </c>
      <c r="J74" s="16" t="s">
        <v>476</v>
      </c>
    </row>
    <row r="75" spans="1:10" x14ac:dyDescent="0.25">
      <c r="A75" s="9" t="s">
        <v>324</v>
      </c>
      <c r="B75" s="10" t="s">
        <v>319</v>
      </c>
      <c r="C75" s="10" t="s">
        <v>214</v>
      </c>
      <c r="D75" s="10" t="s">
        <v>111</v>
      </c>
      <c r="E75" s="10" t="s">
        <v>293</v>
      </c>
      <c r="F75" s="10" t="s">
        <v>178</v>
      </c>
      <c r="G75" s="26" t="s">
        <v>445</v>
      </c>
      <c r="H75" s="26" t="s">
        <v>445</v>
      </c>
      <c r="I75" s="16" t="s">
        <v>477</v>
      </c>
      <c r="J75" s="16" t="s">
        <v>476</v>
      </c>
    </row>
    <row r="76" spans="1:10" x14ac:dyDescent="0.25">
      <c r="A76" s="9" t="s">
        <v>325</v>
      </c>
      <c r="B76" s="10" t="s">
        <v>321</v>
      </c>
      <c r="C76" s="10" t="s">
        <v>214</v>
      </c>
      <c r="D76" s="10" t="s">
        <v>111</v>
      </c>
      <c r="E76" s="10" t="s">
        <v>293</v>
      </c>
      <c r="F76" s="10" t="s">
        <v>178</v>
      </c>
      <c r="G76" s="26" t="s">
        <v>445</v>
      </c>
      <c r="H76" s="26" t="s">
        <v>445</v>
      </c>
      <c r="I76" s="16" t="s">
        <v>477</v>
      </c>
      <c r="J76" s="16" t="s">
        <v>476</v>
      </c>
    </row>
    <row r="77" spans="1:10" x14ac:dyDescent="0.25">
      <c r="A77" s="9" t="s">
        <v>326</v>
      </c>
      <c r="B77" s="10" t="s">
        <v>327</v>
      </c>
      <c r="C77" s="10" t="s">
        <v>200</v>
      </c>
      <c r="D77" s="10" t="s">
        <v>293</v>
      </c>
      <c r="E77" s="10" t="s">
        <v>293</v>
      </c>
      <c r="F77" s="10" t="s">
        <v>178</v>
      </c>
      <c r="G77" s="26" t="s">
        <v>445</v>
      </c>
      <c r="H77" s="26" t="s">
        <v>445</v>
      </c>
      <c r="I77" s="26"/>
      <c r="J77" s="26"/>
    </row>
    <row r="78" spans="1:10" x14ac:dyDescent="0.25">
      <c r="A78" s="9" t="s">
        <v>328</v>
      </c>
      <c r="B78" s="10" t="s">
        <v>329</v>
      </c>
      <c r="C78" s="10" t="s">
        <v>200</v>
      </c>
      <c r="D78" s="10" t="s">
        <v>293</v>
      </c>
      <c r="E78" s="10" t="s">
        <v>293</v>
      </c>
      <c r="F78" s="10" t="s">
        <v>178</v>
      </c>
      <c r="G78" s="26" t="s">
        <v>445</v>
      </c>
      <c r="H78" s="26" t="s">
        <v>445</v>
      </c>
      <c r="I78" s="26"/>
      <c r="J78" s="26"/>
    </row>
    <row r="79" spans="1:10" x14ac:dyDescent="0.25">
      <c r="A79" s="9" t="s">
        <v>330</v>
      </c>
      <c r="B79" s="10" t="s">
        <v>327</v>
      </c>
      <c r="C79" s="10" t="s">
        <v>214</v>
      </c>
      <c r="D79" s="10" t="s">
        <v>293</v>
      </c>
      <c r="E79" s="10" t="s">
        <v>293</v>
      </c>
      <c r="F79" s="10" t="s">
        <v>178</v>
      </c>
      <c r="G79" s="26" t="s">
        <v>445</v>
      </c>
      <c r="H79" s="26" t="s">
        <v>445</v>
      </c>
      <c r="I79" s="26"/>
      <c r="J79" s="26"/>
    </row>
    <row r="80" spans="1:10" x14ac:dyDescent="0.25">
      <c r="A80" s="9" t="s">
        <v>331</v>
      </c>
      <c r="B80" s="10" t="s">
        <v>332</v>
      </c>
      <c r="C80" s="10" t="s">
        <v>214</v>
      </c>
      <c r="D80" s="10" t="s">
        <v>293</v>
      </c>
      <c r="E80" s="10" t="s">
        <v>293</v>
      </c>
      <c r="F80" s="10" t="s">
        <v>178</v>
      </c>
      <c r="G80" s="26" t="s">
        <v>445</v>
      </c>
      <c r="H80" s="26" t="s">
        <v>445</v>
      </c>
      <c r="I80" s="26"/>
      <c r="J80" s="26"/>
    </row>
    <row r="81" spans="1:10" x14ac:dyDescent="0.25">
      <c r="A81" s="9" t="s">
        <v>333</v>
      </c>
      <c r="B81" s="10" t="s">
        <v>329</v>
      </c>
      <c r="C81" s="10" t="s">
        <v>214</v>
      </c>
      <c r="D81" s="10" t="s">
        <v>293</v>
      </c>
      <c r="E81" s="10" t="s">
        <v>293</v>
      </c>
      <c r="F81" s="10" t="s">
        <v>178</v>
      </c>
      <c r="G81" s="26" t="s">
        <v>445</v>
      </c>
      <c r="H81" s="26" t="s">
        <v>445</v>
      </c>
      <c r="I81" s="26"/>
      <c r="J81" s="26"/>
    </row>
    <row r="82" spans="1:10" x14ac:dyDescent="0.25">
      <c r="A82" s="20" t="s">
        <v>334</v>
      </c>
      <c r="B82" s="21" t="s">
        <v>335</v>
      </c>
      <c r="C82" s="21" t="s">
        <v>200</v>
      </c>
      <c r="D82" s="21" t="s">
        <v>125</v>
      </c>
      <c r="E82" s="21" t="s">
        <v>293</v>
      </c>
      <c r="F82" s="21" t="s">
        <v>178</v>
      </c>
      <c r="G82" s="22" t="s">
        <v>445</v>
      </c>
      <c r="H82" s="22" t="s">
        <v>445</v>
      </c>
      <c r="I82" s="22" t="s">
        <v>478</v>
      </c>
      <c r="J82" s="22" t="s">
        <v>338</v>
      </c>
    </row>
    <row r="83" spans="1:10" x14ac:dyDescent="0.25">
      <c r="A83" s="20" t="s">
        <v>336</v>
      </c>
      <c r="B83" s="21" t="s">
        <v>337</v>
      </c>
      <c r="C83" s="21" t="s">
        <v>200</v>
      </c>
      <c r="D83" s="21" t="s">
        <v>125</v>
      </c>
      <c r="E83" s="21" t="s">
        <v>293</v>
      </c>
      <c r="F83" s="21" t="s">
        <v>178</v>
      </c>
      <c r="G83" s="22" t="s">
        <v>445</v>
      </c>
      <c r="H83" s="22" t="s">
        <v>445</v>
      </c>
      <c r="I83" s="22" t="s">
        <v>478</v>
      </c>
      <c r="J83" s="22" t="s">
        <v>343</v>
      </c>
    </row>
    <row r="84" spans="1:10" x14ac:dyDescent="0.25">
      <c r="A84" s="20" t="s">
        <v>338</v>
      </c>
      <c r="B84" s="21" t="s">
        <v>335</v>
      </c>
      <c r="C84" s="21" t="s">
        <v>214</v>
      </c>
      <c r="D84" s="21" t="s">
        <v>125</v>
      </c>
      <c r="E84" s="21" t="s">
        <v>293</v>
      </c>
      <c r="F84" s="21" t="s">
        <v>178</v>
      </c>
      <c r="G84" s="22" t="s">
        <v>445</v>
      </c>
      <c r="H84" s="22" t="s">
        <v>445</v>
      </c>
      <c r="I84" s="22" t="s">
        <v>477</v>
      </c>
      <c r="J84" s="22" t="s">
        <v>476</v>
      </c>
    </row>
    <row r="85" spans="1:10" x14ac:dyDescent="0.25">
      <c r="A85" s="20" t="s">
        <v>339</v>
      </c>
      <c r="B85" s="21" t="s">
        <v>340</v>
      </c>
      <c r="C85" s="21" t="s">
        <v>214</v>
      </c>
      <c r="D85" s="21" t="s">
        <v>125</v>
      </c>
      <c r="E85" s="21" t="s">
        <v>293</v>
      </c>
      <c r="F85" s="21" t="s">
        <v>178</v>
      </c>
      <c r="G85" s="22" t="s">
        <v>445</v>
      </c>
      <c r="H85" s="22" t="s">
        <v>445</v>
      </c>
      <c r="I85" s="22" t="s">
        <v>477</v>
      </c>
      <c r="J85" s="22" t="s">
        <v>476</v>
      </c>
    </row>
    <row r="86" spans="1:10" x14ac:dyDescent="0.25">
      <c r="A86" s="20" t="s">
        <v>341</v>
      </c>
      <c r="B86" s="21" t="s">
        <v>342</v>
      </c>
      <c r="C86" s="21" t="s">
        <v>214</v>
      </c>
      <c r="D86" s="21" t="s">
        <v>125</v>
      </c>
      <c r="E86" s="21" t="s">
        <v>293</v>
      </c>
      <c r="F86" s="21" t="s">
        <v>178</v>
      </c>
      <c r="G86" s="22" t="s">
        <v>445</v>
      </c>
      <c r="H86" s="22" t="s">
        <v>445</v>
      </c>
      <c r="I86" s="22" t="s">
        <v>477</v>
      </c>
      <c r="J86" s="22" t="s">
        <v>476</v>
      </c>
    </row>
    <row r="87" spans="1:10" x14ac:dyDescent="0.25">
      <c r="A87" s="20" t="s">
        <v>343</v>
      </c>
      <c r="B87" s="21" t="s">
        <v>337</v>
      </c>
      <c r="C87" s="21" t="s">
        <v>214</v>
      </c>
      <c r="D87" s="21" t="s">
        <v>125</v>
      </c>
      <c r="E87" s="21" t="s">
        <v>293</v>
      </c>
      <c r="F87" s="21" t="s">
        <v>178</v>
      </c>
      <c r="G87" s="22" t="s">
        <v>445</v>
      </c>
      <c r="H87" s="22" t="s">
        <v>445</v>
      </c>
      <c r="I87" s="22" t="s">
        <v>477</v>
      </c>
      <c r="J87" s="22" t="s">
        <v>476</v>
      </c>
    </row>
    <row r="88" spans="1:10" x14ac:dyDescent="0.25">
      <c r="A88" s="20" t="s">
        <v>344</v>
      </c>
      <c r="B88" s="21" t="s">
        <v>345</v>
      </c>
      <c r="C88" s="21" t="s">
        <v>214</v>
      </c>
      <c r="D88" s="21" t="s">
        <v>125</v>
      </c>
      <c r="E88" s="21" t="s">
        <v>293</v>
      </c>
      <c r="F88" s="21" t="s">
        <v>178</v>
      </c>
      <c r="G88" s="22" t="s">
        <v>445</v>
      </c>
      <c r="H88" s="22" t="s">
        <v>445</v>
      </c>
      <c r="I88" s="22" t="s">
        <v>477</v>
      </c>
      <c r="J88" s="22" t="s">
        <v>476</v>
      </c>
    </row>
    <row r="89" spans="1:10" x14ac:dyDescent="0.25">
      <c r="A89" s="20" t="s">
        <v>346</v>
      </c>
      <c r="B89" s="21" t="s">
        <v>347</v>
      </c>
      <c r="C89" s="21" t="s">
        <v>200</v>
      </c>
      <c r="D89" s="21" t="s">
        <v>102</v>
      </c>
      <c r="E89" s="21" t="s">
        <v>293</v>
      </c>
      <c r="F89" s="21" t="s">
        <v>178</v>
      </c>
      <c r="G89" s="22" t="s">
        <v>445</v>
      </c>
      <c r="H89" s="22" t="s">
        <v>445</v>
      </c>
      <c r="I89" s="22" t="s">
        <v>478</v>
      </c>
      <c r="J89" s="22" t="s">
        <v>350</v>
      </c>
    </row>
    <row r="90" spans="1:10" x14ac:dyDescent="0.25">
      <c r="A90" s="20" t="s">
        <v>348</v>
      </c>
      <c r="B90" s="21" t="s">
        <v>349</v>
      </c>
      <c r="C90" s="21" t="s">
        <v>214</v>
      </c>
      <c r="D90" s="21" t="s">
        <v>102</v>
      </c>
      <c r="E90" s="21" t="s">
        <v>293</v>
      </c>
      <c r="F90" s="21" t="s">
        <v>178</v>
      </c>
      <c r="G90" s="22" t="s">
        <v>445</v>
      </c>
      <c r="H90" s="22" t="s">
        <v>445</v>
      </c>
      <c r="I90" s="22" t="s">
        <v>477</v>
      </c>
      <c r="J90" s="22" t="s">
        <v>476</v>
      </c>
    </row>
    <row r="91" spans="1:10" x14ac:dyDescent="0.25">
      <c r="A91" s="20" t="s">
        <v>350</v>
      </c>
      <c r="B91" s="21" t="s">
        <v>347</v>
      </c>
      <c r="C91" s="21" t="s">
        <v>214</v>
      </c>
      <c r="D91" s="21" t="s">
        <v>102</v>
      </c>
      <c r="E91" s="21" t="s">
        <v>293</v>
      </c>
      <c r="F91" s="21" t="s">
        <v>178</v>
      </c>
      <c r="G91" s="22" t="s">
        <v>445</v>
      </c>
      <c r="H91" s="22" t="s">
        <v>445</v>
      </c>
      <c r="I91" s="22" t="s">
        <v>477</v>
      </c>
      <c r="J91" s="22" t="s">
        <v>476</v>
      </c>
    </row>
    <row r="92" spans="1:10" x14ac:dyDescent="0.25">
      <c r="A92" s="20" t="s">
        <v>351</v>
      </c>
      <c r="B92" s="21" t="s">
        <v>352</v>
      </c>
      <c r="C92" s="21" t="s">
        <v>200</v>
      </c>
      <c r="D92" s="21" t="s">
        <v>90</v>
      </c>
      <c r="E92" s="21" t="s">
        <v>353</v>
      </c>
      <c r="F92" s="21" t="s">
        <v>178</v>
      </c>
      <c r="G92" s="22" t="s">
        <v>445</v>
      </c>
      <c r="H92" s="22" t="s">
        <v>445</v>
      </c>
      <c r="I92" s="22" t="s">
        <v>476</v>
      </c>
      <c r="J92" s="22" t="s">
        <v>476</v>
      </c>
    </row>
    <row r="93" spans="1:10" x14ac:dyDescent="0.25">
      <c r="A93" s="20" t="s">
        <v>354</v>
      </c>
      <c r="B93" s="21" t="s">
        <v>354</v>
      </c>
      <c r="C93" s="21" t="s">
        <v>214</v>
      </c>
      <c r="D93" s="21" t="s">
        <v>90</v>
      </c>
      <c r="E93" s="21" t="s">
        <v>353</v>
      </c>
      <c r="F93" s="21" t="s">
        <v>178</v>
      </c>
      <c r="G93" s="22" t="s">
        <v>445</v>
      </c>
      <c r="H93" s="22" t="s">
        <v>445</v>
      </c>
      <c r="I93" s="22" t="s">
        <v>477</v>
      </c>
      <c r="J93" s="22" t="s">
        <v>476</v>
      </c>
    </row>
    <row r="94" spans="1:10" x14ac:dyDescent="0.25">
      <c r="A94" s="20" t="s">
        <v>355</v>
      </c>
      <c r="B94" s="21" t="s">
        <v>352</v>
      </c>
      <c r="C94" s="21" t="s">
        <v>214</v>
      </c>
      <c r="D94" s="21" t="s">
        <v>90</v>
      </c>
      <c r="E94" s="21" t="s">
        <v>353</v>
      </c>
      <c r="F94" s="21" t="s">
        <v>178</v>
      </c>
      <c r="G94" s="22" t="s">
        <v>445</v>
      </c>
      <c r="H94" s="22" t="s">
        <v>445</v>
      </c>
      <c r="I94" s="22" t="s">
        <v>476</v>
      </c>
      <c r="J94" s="22" t="s">
        <v>476</v>
      </c>
    </row>
    <row r="95" spans="1:10" x14ac:dyDescent="0.25">
      <c r="A95" s="20" t="s">
        <v>356</v>
      </c>
      <c r="B95" s="21" t="s">
        <v>357</v>
      </c>
      <c r="C95" s="21" t="s">
        <v>200</v>
      </c>
      <c r="D95" s="21" t="s">
        <v>358</v>
      </c>
      <c r="E95" s="21" t="s">
        <v>359</v>
      </c>
      <c r="F95" s="21" t="s">
        <v>178</v>
      </c>
      <c r="G95" s="22" t="s">
        <v>445</v>
      </c>
      <c r="H95" s="22" t="s">
        <v>445</v>
      </c>
      <c r="I95" s="22" t="s">
        <v>478</v>
      </c>
      <c r="J95" s="22" t="s">
        <v>31</v>
      </c>
    </row>
    <row r="96" spans="1:10" x14ac:dyDescent="0.25">
      <c r="A96" s="20" t="s">
        <v>360</v>
      </c>
      <c r="B96" s="21" t="s">
        <v>361</v>
      </c>
      <c r="C96" s="21" t="s">
        <v>200</v>
      </c>
      <c r="D96" s="21" t="s">
        <v>358</v>
      </c>
      <c r="E96" s="21" t="s">
        <v>359</v>
      </c>
      <c r="F96" s="21" t="s">
        <v>178</v>
      </c>
      <c r="G96" s="22" t="s">
        <v>445</v>
      </c>
      <c r="H96" s="22" t="s">
        <v>445</v>
      </c>
      <c r="I96" s="22" t="s">
        <v>478</v>
      </c>
      <c r="J96" s="22" t="s">
        <v>29</v>
      </c>
    </row>
    <row r="97" spans="1:10" x14ac:dyDescent="0.25">
      <c r="A97" s="20" t="s">
        <v>362</v>
      </c>
      <c r="B97" s="21" t="s">
        <v>363</v>
      </c>
      <c r="C97" s="21" t="s">
        <v>200</v>
      </c>
      <c r="D97" s="21" t="s">
        <v>168</v>
      </c>
      <c r="E97" s="21" t="s">
        <v>359</v>
      </c>
      <c r="F97" s="21" t="s">
        <v>178</v>
      </c>
      <c r="G97" s="22" t="s">
        <v>445</v>
      </c>
      <c r="H97" s="22" t="s">
        <v>445</v>
      </c>
      <c r="I97" s="22" t="s">
        <v>478</v>
      </c>
      <c r="J97" s="22" t="s">
        <v>38</v>
      </c>
    </row>
    <row r="98" spans="1:10" x14ac:dyDescent="0.25">
      <c r="A98" s="20" t="s">
        <v>364</v>
      </c>
      <c r="B98" s="21" t="s">
        <v>365</v>
      </c>
      <c r="C98" s="21" t="s">
        <v>200</v>
      </c>
      <c r="D98" s="21" t="s">
        <v>168</v>
      </c>
      <c r="E98" s="21" t="s">
        <v>359</v>
      </c>
      <c r="F98" s="21" t="s">
        <v>178</v>
      </c>
      <c r="G98" s="22" t="s">
        <v>445</v>
      </c>
      <c r="H98" s="22" t="s">
        <v>445</v>
      </c>
      <c r="I98" s="22" t="s">
        <v>478</v>
      </c>
      <c r="J98" s="22" t="s">
        <v>395</v>
      </c>
    </row>
    <row r="99" spans="1:10" x14ac:dyDescent="0.25">
      <c r="A99" s="20" t="s">
        <v>366</v>
      </c>
      <c r="B99" s="21" t="s">
        <v>367</v>
      </c>
      <c r="C99" s="21" t="s">
        <v>200</v>
      </c>
      <c r="D99" s="21" t="s">
        <v>168</v>
      </c>
      <c r="E99" s="21" t="s">
        <v>359</v>
      </c>
      <c r="F99" s="21" t="s">
        <v>178</v>
      </c>
      <c r="G99" s="22" t="s">
        <v>445</v>
      </c>
      <c r="H99" s="22" t="s">
        <v>445</v>
      </c>
      <c r="I99" s="22" t="s">
        <v>478</v>
      </c>
      <c r="J99" s="22" t="s">
        <v>36</v>
      </c>
    </row>
    <row r="100" spans="1:10" x14ac:dyDescent="0.25">
      <c r="A100" s="20" t="s">
        <v>368</v>
      </c>
      <c r="B100" s="21" t="s">
        <v>369</v>
      </c>
      <c r="C100" s="21" t="s">
        <v>200</v>
      </c>
      <c r="D100" s="21" t="s">
        <v>370</v>
      </c>
      <c r="E100" s="21" t="s">
        <v>359</v>
      </c>
      <c r="F100" s="21" t="s">
        <v>371</v>
      </c>
      <c r="G100" s="22" t="s">
        <v>445</v>
      </c>
      <c r="H100" s="22" t="s">
        <v>445</v>
      </c>
      <c r="I100" s="22" t="s">
        <v>478</v>
      </c>
      <c r="J100" s="22" t="s">
        <v>14</v>
      </c>
    </row>
    <row r="101" spans="1:10" x14ac:dyDescent="0.25">
      <c r="A101" s="20" t="s">
        <v>372</v>
      </c>
      <c r="B101" s="21" t="s">
        <v>373</v>
      </c>
      <c r="C101" s="21" t="s">
        <v>200</v>
      </c>
      <c r="D101" s="21" t="s">
        <v>370</v>
      </c>
      <c r="E101" s="21" t="s">
        <v>359</v>
      </c>
      <c r="F101" s="21" t="s">
        <v>371</v>
      </c>
      <c r="G101" s="22" t="s">
        <v>445</v>
      </c>
      <c r="H101" s="22" t="s">
        <v>445</v>
      </c>
      <c r="I101" s="22" t="s">
        <v>478</v>
      </c>
      <c r="J101" s="22" t="s">
        <v>17</v>
      </c>
    </row>
    <row r="102" spans="1:10" x14ac:dyDescent="0.25">
      <c r="A102" s="20" t="s">
        <v>374</v>
      </c>
      <c r="B102" s="21" t="s">
        <v>375</v>
      </c>
      <c r="C102" s="21" t="s">
        <v>200</v>
      </c>
      <c r="D102" s="21" t="s">
        <v>370</v>
      </c>
      <c r="E102" s="21" t="s">
        <v>359</v>
      </c>
      <c r="F102" s="21" t="s">
        <v>371</v>
      </c>
      <c r="G102" s="22" t="s">
        <v>445</v>
      </c>
      <c r="H102" s="22" t="s">
        <v>445</v>
      </c>
      <c r="I102" s="22" t="s">
        <v>478</v>
      </c>
      <c r="J102" s="22" t="s">
        <v>9</v>
      </c>
    </row>
    <row r="103" spans="1:10" x14ac:dyDescent="0.25">
      <c r="A103" s="23" t="s">
        <v>376</v>
      </c>
      <c r="B103" s="24" t="s">
        <v>377</v>
      </c>
      <c r="C103" s="24" t="s">
        <v>200</v>
      </c>
      <c r="D103" s="24" t="s">
        <v>378</v>
      </c>
      <c r="E103" s="24" t="s">
        <v>359</v>
      </c>
      <c r="F103" s="24" t="s">
        <v>178</v>
      </c>
      <c r="G103" s="25" t="s">
        <v>445</v>
      </c>
      <c r="H103" s="25" t="s">
        <v>445</v>
      </c>
      <c r="I103" s="25" t="s">
        <v>478</v>
      </c>
      <c r="J103" s="25" t="s">
        <v>474</v>
      </c>
    </row>
    <row r="104" spans="1:10" x14ac:dyDescent="0.25">
      <c r="A104" s="23" t="s">
        <v>379</v>
      </c>
      <c r="B104" s="24" t="s">
        <v>380</v>
      </c>
      <c r="C104" s="24" t="s">
        <v>200</v>
      </c>
      <c r="D104" s="24" t="s">
        <v>378</v>
      </c>
      <c r="E104" s="24" t="s">
        <v>359</v>
      </c>
      <c r="F104" s="24" t="s">
        <v>178</v>
      </c>
      <c r="G104" s="25" t="s">
        <v>445</v>
      </c>
      <c r="H104" s="25" t="s">
        <v>445</v>
      </c>
      <c r="I104" s="25" t="s">
        <v>478</v>
      </c>
      <c r="J104" s="25" t="s">
        <v>475</v>
      </c>
    </row>
    <row r="105" spans="1:10" x14ac:dyDescent="0.25">
      <c r="A105" s="20" t="s">
        <v>383</v>
      </c>
      <c r="B105" s="21" t="s">
        <v>384</v>
      </c>
      <c r="C105" s="21" t="s">
        <v>200</v>
      </c>
      <c r="D105" s="21" t="s">
        <v>385</v>
      </c>
      <c r="E105" s="21" t="s">
        <v>359</v>
      </c>
      <c r="F105" s="21" t="s">
        <v>371</v>
      </c>
      <c r="G105" s="22" t="s">
        <v>445</v>
      </c>
      <c r="H105" s="22" t="s">
        <v>445</v>
      </c>
      <c r="I105" s="22" t="s">
        <v>478</v>
      </c>
      <c r="J105" s="22" t="s">
        <v>48</v>
      </c>
    </row>
    <row r="106" spans="1:10" x14ac:dyDescent="0.25">
      <c r="A106" s="20" t="s">
        <v>386</v>
      </c>
      <c r="B106" s="21" t="s">
        <v>387</v>
      </c>
      <c r="C106" s="21" t="s">
        <v>200</v>
      </c>
      <c r="D106" s="21" t="s">
        <v>385</v>
      </c>
      <c r="E106" s="21" t="s">
        <v>359</v>
      </c>
      <c r="F106" s="21" t="s">
        <v>371</v>
      </c>
      <c r="G106" s="22" t="s">
        <v>445</v>
      </c>
      <c r="H106" s="22" t="s">
        <v>445</v>
      </c>
      <c r="I106" s="22" t="s">
        <v>478</v>
      </c>
      <c r="J106" s="22" t="s">
        <v>50</v>
      </c>
    </row>
    <row r="107" spans="1:10" x14ac:dyDescent="0.25">
      <c r="A107" s="20" t="s">
        <v>388</v>
      </c>
      <c r="B107" s="21" t="s">
        <v>389</v>
      </c>
      <c r="C107" s="21" t="s">
        <v>200</v>
      </c>
      <c r="D107" s="21" t="s">
        <v>385</v>
      </c>
      <c r="E107" s="21" t="s">
        <v>359</v>
      </c>
      <c r="F107" s="21" t="s">
        <v>371</v>
      </c>
      <c r="G107" s="22" t="s">
        <v>445</v>
      </c>
      <c r="H107" s="22" t="s">
        <v>445</v>
      </c>
      <c r="I107" s="22" t="s">
        <v>478</v>
      </c>
      <c r="J107" s="22" t="s">
        <v>46</v>
      </c>
    </row>
    <row r="108" spans="1:10" x14ac:dyDescent="0.25">
      <c r="A108" s="20" t="s">
        <v>390</v>
      </c>
      <c r="B108" s="21" t="s">
        <v>391</v>
      </c>
      <c r="C108" s="21" t="s">
        <v>200</v>
      </c>
      <c r="D108" s="21" t="s">
        <v>359</v>
      </c>
      <c r="E108" s="21" t="s">
        <v>359</v>
      </c>
      <c r="F108" s="21" t="s">
        <v>371</v>
      </c>
      <c r="G108" s="22" t="s">
        <v>445</v>
      </c>
      <c r="H108" s="22" t="s">
        <v>445</v>
      </c>
      <c r="I108" s="22" t="s">
        <v>478</v>
      </c>
      <c r="J108" s="22" t="s">
        <v>396</v>
      </c>
    </row>
    <row r="109" spans="1:10" x14ac:dyDescent="0.25">
      <c r="A109" s="23" t="s">
        <v>25</v>
      </c>
      <c r="B109" s="24" t="s">
        <v>377</v>
      </c>
      <c r="C109" s="24" t="s">
        <v>214</v>
      </c>
      <c r="D109" s="24" t="s">
        <v>378</v>
      </c>
      <c r="E109" s="24" t="s">
        <v>359</v>
      </c>
      <c r="F109" s="24" t="s">
        <v>178</v>
      </c>
      <c r="G109" s="25" t="s">
        <v>445</v>
      </c>
      <c r="H109" s="25" t="s">
        <v>445</v>
      </c>
      <c r="I109" s="25" t="s">
        <v>478</v>
      </c>
      <c r="J109" s="25" t="s">
        <v>474</v>
      </c>
    </row>
    <row r="110" spans="1:10" x14ac:dyDescent="0.25">
      <c r="A110" s="23" t="s">
        <v>381</v>
      </c>
      <c r="B110" s="24" t="s">
        <v>382</v>
      </c>
      <c r="C110" s="24" t="s">
        <v>214</v>
      </c>
      <c r="D110" s="24" t="s">
        <v>378</v>
      </c>
      <c r="E110" s="24" t="s">
        <v>359</v>
      </c>
      <c r="F110" s="24" t="s">
        <v>178</v>
      </c>
      <c r="G110" s="25" t="s">
        <v>445</v>
      </c>
      <c r="H110" s="25" t="s">
        <v>445</v>
      </c>
      <c r="I110" s="25" t="s">
        <v>478</v>
      </c>
      <c r="J110" s="25" t="s">
        <v>474</v>
      </c>
    </row>
    <row r="111" spans="1:10" x14ac:dyDescent="0.25">
      <c r="A111" s="23" t="s">
        <v>475</v>
      </c>
      <c r="B111" s="24" t="s">
        <v>380</v>
      </c>
      <c r="C111" s="24" t="s">
        <v>214</v>
      </c>
      <c r="D111" s="24" t="s">
        <v>378</v>
      </c>
      <c r="E111" s="24" t="s">
        <v>359</v>
      </c>
      <c r="F111" s="24" t="s">
        <v>178</v>
      </c>
      <c r="G111" s="25" t="s">
        <v>445</v>
      </c>
      <c r="H111" s="25" t="s">
        <v>445</v>
      </c>
      <c r="I111" s="25" t="s">
        <v>477</v>
      </c>
      <c r="J111" s="25" t="s">
        <v>476</v>
      </c>
    </row>
    <row r="112" spans="1:10" x14ac:dyDescent="0.25">
      <c r="A112" s="23" t="s">
        <v>474</v>
      </c>
      <c r="B112" s="24" t="s">
        <v>377</v>
      </c>
      <c r="C112" s="24" t="s">
        <v>214</v>
      </c>
      <c r="D112" s="24" t="s">
        <v>378</v>
      </c>
      <c r="E112" s="24" t="s">
        <v>359</v>
      </c>
      <c r="F112" s="24" t="s">
        <v>178</v>
      </c>
      <c r="G112" s="25" t="s">
        <v>445</v>
      </c>
      <c r="H112" s="25" t="s">
        <v>445</v>
      </c>
      <c r="I112" s="25" t="s">
        <v>477</v>
      </c>
      <c r="J112" s="25" t="s">
        <v>476</v>
      </c>
    </row>
    <row r="113" spans="1:10" x14ac:dyDescent="0.25">
      <c r="A113" s="20" t="s">
        <v>29</v>
      </c>
      <c r="B113" s="21" t="s">
        <v>361</v>
      </c>
      <c r="C113" s="21" t="s">
        <v>214</v>
      </c>
      <c r="D113" s="21" t="s">
        <v>358</v>
      </c>
      <c r="E113" s="21" t="s">
        <v>359</v>
      </c>
      <c r="F113" s="21" t="s">
        <v>178</v>
      </c>
      <c r="G113" s="22" t="s">
        <v>445</v>
      </c>
      <c r="H113" s="22" t="s">
        <v>445</v>
      </c>
      <c r="I113" s="22" t="s">
        <v>477</v>
      </c>
      <c r="J113" s="22" t="s">
        <v>476</v>
      </c>
    </row>
    <row r="114" spans="1:10" x14ac:dyDescent="0.25">
      <c r="A114" s="20" t="s">
        <v>31</v>
      </c>
      <c r="B114" s="21" t="s">
        <v>357</v>
      </c>
      <c r="C114" s="21" t="s">
        <v>214</v>
      </c>
      <c r="D114" s="21" t="s">
        <v>358</v>
      </c>
      <c r="E114" s="21" t="s">
        <v>359</v>
      </c>
      <c r="F114" s="21" t="s">
        <v>178</v>
      </c>
      <c r="G114" s="22" t="s">
        <v>445</v>
      </c>
      <c r="H114" s="22" t="s">
        <v>445</v>
      </c>
      <c r="I114" s="22" t="s">
        <v>477</v>
      </c>
      <c r="J114" s="22" t="s">
        <v>476</v>
      </c>
    </row>
    <row r="115" spans="1:10" x14ac:dyDescent="0.25">
      <c r="A115" s="20" t="s">
        <v>392</v>
      </c>
      <c r="B115" s="21" t="s">
        <v>393</v>
      </c>
      <c r="C115" s="21" t="s">
        <v>214</v>
      </c>
      <c r="D115" s="21" t="s">
        <v>358</v>
      </c>
      <c r="E115" s="21" t="s">
        <v>359</v>
      </c>
      <c r="F115" s="21" t="s">
        <v>178</v>
      </c>
      <c r="G115" s="22" t="s">
        <v>445</v>
      </c>
      <c r="H115" s="22" t="s">
        <v>445</v>
      </c>
      <c r="I115" s="22" t="s">
        <v>477</v>
      </c>
      <c r="J115" s="22" t="s">
        <v>476</v>
      </c>
    </row>
    <row r="116" spans="1:10" x14ac:dyDescent="0.25">
      <c r="A116" s="20" t="s">
        <v>394</v>
      </c>
      <c r="B116" s="21" t="s">
        <v>394</v>
      </c>
      <c r="C116" s="21" t="s">
        <v>214</v>
      </c>
      <c r="D116" s="21" t="s">
        <v>385</v>
      </c>
      <c r="E116" s="21" t="s">
        <v>359</v>
      </c>
      <c r="F116" s="21" t="s">
        <v>178</v>
      </c>
      <c r="G116" s="22" t="s">
        <v>445</v>
      </c>
      <c r="H116" s="22" t="s">
        <v>445</v>
      </c>
      <c r="I116" s="22" t="s">
        <v>477</v>
      </c>
      <c r="J116" s="22" t="s">
        <v>476</v>
      </c>
    </row>
    <row r="117" spans="1:10" x14ac:dyDescent="0.25">
      <c r="A117" s="20" t="s">
        <v>38</v>
      </c>
      <c r="B117" s="21" t="s">
        <v>363</v>
      </c>
      <c r="C117" s="21" t="s">
        <v>214</v>
      </c>
      <c r="D117" s="21" t="s">
        <v>168</v>
      </c>
      <c r="E117" s="21" t="s">
        <v>359</v>
      </c>
      <c r="F117" s="21" t="s">
        <v>178</v>
      </c>
      <c r="G117" s="22" t="s">
        <v>445</v>
      </c>
      <c r="H117" s="22" t="s">
        <v>445</v>
      </c>
      <c r="I117" s="22" t="s">
        <v>477</v>
      </c>
      <c r="J117" s="22" t="s">
        <v>476</v>
      </c>
    </row>
    <row r="118" spans="1:10" x14ac:dyDescent="0.25">
      <c r="A118" s="20" t="s">
        <v>395</v>
      </c>
      <c r="B118" s="21" t="s">
        <v>365</v>
      </c>
      <c r="C118" s="21" t="s">
        <v>214</v>
      </c>
      <c r="D118" s="21" t="s">
        <v>168</v>
      </c>
      <c r="E118" s="21" t="s">
        <v>359</v>
      </c>
      <c r="F118" s="21" t="s">
        <v>178</v>
      </c>
      <c r="G118" s="22" t="s">
        <v>445</v>
      </c>
      <c r="H118" s="22" t="s">
        <v>445</v>
      </c>
      <c r="I118" s="22" t="s">
        <v>477</v>
      </c>
      <c r="J118" s="22" t="s">
        <v>476</v>
      </c>
    </row>
    <row r="119" spans="1:10" x14ac:dyDescent="0.25">
      <c r="A119" s="20" t="s">
        <v>36</v>
      </c>
      <c r="B119" s="21" t="s">
        <v>367</v>
      </c>
      <c r="C119" s="21" t="s">
        <v>214</v>
      </c>
      <c r="D119" s="21" t="s">
        <v>168</v>
      </c>
      <c r="E119" s="21" t="s">
        <v>359</v>
      </c>
      <c r="F119" s="21" t="s">
        <v>178</v>
      </c>
      <c r="G119" s="22" t="s">
        <v>445</v>
      </c>
      <c r="H119" s="22" t="s">
        <v>445</v>
      </c>
      <c r="I119" s="22" t="s">
        <v>477</v>
      </c>
      <c r="J119" s="22" t="s">
        <v>476</v>
      </c>
    </row>
    <row r="120" spans="1:10" x14ac:dyDescent="0.25">
      <c r="A120" s="20" t="s">
        <v>14</v>
      </c>
      <c r="B120" s="21" t="s">
        <v>369</v>
      </c>
      <c r="C120" s="21" t="s">
        <v>214</v>
      </c>
      <c r="D120" s="21" t="s">
        <v>370</v>
      </c>
      <c r="E120" s="21" t="s">
        <v>359</v>
      </c>
      <c r="F120" s="21" t="s">
        <v>371</v>
      </c>
      <c r="G120" s="22" t="s">
        <v>445</v>
      </c>
      <c r="H120" s="22" t="s">
        <v>445</v>
      </c>
      <c r="I120" s="22" t="s">
        <v>477</v>
      </c>
      <c r="J120" s="22" t="s">
        <v>476</v>
      </c>
    </row>
    <row r="121" spans="1:10" x14ac:dyDescent="0.25">
      <c r="A121" s="20" t="s">
        <v>17</v>
      </c>
      <c r="B121" s="21" t="s">
        <v>373</v>
      </c>
      <c r="C121" s="21" t="s">
        <v>214</v>
      </c>
      <c r="D121" s="21" t="s">
        <v>370</v>
      </c>
      <c r="E121" s="21" t="s">
        <v>359</v>
      </c>
      <c r="F121" s="21" t="s">
        <v>371</v>
      </c>
      <c r="G121" s="22" t="s">
        <v>445</v>
      </c>
      <c r="H121" s="22" t="s">
        <v>445</v>
      </c>
      <c r="I121" s="22" t="s">
        <v>477</v>
      </c>
      <c r="J121" s="22" t="s">
        <v>476</v>
      </c>
    </row>
    <row r="122" spans="1:10" x14ac:dyDescent="0.25">
      <c r="A122" s="20" t="s">
        <v>9</v>
      </c>
      <c r="B122" s="21" t="s">
        <v>375</v>
      </c>
      <c r="C122" s="21" t="s">
        <v>214</v>
      </c>
      <c r="D122" s="21" t="s">
        <v>370</v>
      </c>
      <c r="E122" s="21" t="s">
        <v>359</v>
      </c>
      <c r="F122" s="21" t="s">
        <v>371</v>
      </c>
      <c r="G122" s="22" t="s">
        <v>445</v>
      </c>
      <c r="H122" s="22" t="s">
        <v>445</v>
      </c>
      <c r="I122" s="22" t="s">
        <v>477</v>
      </c>
      <c r="J122" s="22" t="s">
        <v>476</v>
      </c>
    </row>
    <row r="123" spans="1:10" x14ac:dyDescent="0.25">
      <c r="A123" s="20" t="s">
        <v>46</v>
      </c>
      <c r="B123" s="21" t="s">
        <v>389</v>
      </c>
      <c r="C123" s="21" t="s">
        <v>214</v>
      </c>
      <c r="D123" s="21" t="s">
        <v>385</v>
      </c>
      <c r="E123" s="21" t="s">
        <v>359</v>
      </c>
      <c r="F123" s="21" t="s">
        <v>371</v>
      </c>
      <c r="G123" s="22" t="s">
        <v>445</v>
      </c>
      <c r="H123" s="22" t="s">
        <v>445</v>
      </c>
      <c r="I123" s="22" t="s">
        <v>477</v>
      </c>
      <c r="J123" s="22" t="s">
        <v>476</v>
      </c>
    </row>
    <row r="124" spans="1:10" x14ac:dyDescent="0.25">
      <c r="A124" s="20" t="s">
        <v>48</v>
      </c>
      <c r="B124" s="21" t="s">
        <v>384</v>
      </c>
      <c r="C124" s="21" t="s">
        <v>214</v>
      </c>
      <c r="D124" s="21" t="s">
        <v>385</v>
      </c>
      <c r="E124" s="21" t="s">
        <v>359</v>
      </c>
      <c r="F124" s="21" t="s">
        <v>371</v>
      </c>
      <c r="G124" s="22" t="s">
        <v>445</v>
      </c>
      <c r="H124" s="22" t="s">
        <v>445</v>
      </c>
      <c r="I124" s="22" t="s">
        <v>477</v>
      </c>
      <c r="J124" s="22" t="s">
        <v>476</v>
      </c>
    </row>
    <row r="125" spans="1:10" x14ac:dyDescent="0.25">
      <c r="A125" s="20" t="s">
        <v>50</v>
      </c>
      <c r="B125" s="21" t="s">
        <v>387</v>
      </c>
      <c r="C125" s="21" t="s">
        <v>214</v>
      </c>
      <c r="D125" s="21" t="s">
        <v>385</v>
      </c>
      <c r="E125" s="21" t="s">
        <v>359</v>
      </c>
      <c r="F125" s="21" t="s">
        <v>371</v>
      </c>
      <c r="G125" s="22" t="s">
        <v>445</v>
      </c>
      <c r="H125" s="22" t="s">
        <v>445</v>
      </c>
      <c r="I125" s="22" t="s">
        <v>477</v>
      </c>
      <c r="J125" s="22" t="s">
        <v>476</v>
      </c>
    </row>
    <row r="126" spans="1:10" x14ac:dyDescent="0.25">
      <c r="A126" s="20" t="s">
        <v>396</v>
      </c>
      <c r="B126" s="21" t="s">
        <v>391</v>
      </c>
      <c r="C126" s="21" t="s">
        <v>214</v>
      </c>
      <c r="D126" s="21" t="s">
        <v>359</v>
      </c>
      <c r="E126" s="21" t="s">
        <v>359</v>
      </c>
      <c r="F126" s="21" t="s">
        <v>371</v>
      </c>
      <c r="G126" s="22" t="s">
        <v>445</v>
      </c>
      <c r="H126" s="22" t="s">
        <v>445</v>
      </c>
      <c r="I126" s="22" t="s">
        <v>477</v>
      </c>
      <c r="J126" s="22" t="s">
        <v>476</v>
      </c>
    </row>
    <row r="127" spans="1:10" x14ac:dyDescent="0.25">
      <c r="A127" s="20" t="s">
        <v>397</v>
      </c>
      <c r="B127" s="21" t="s">
        <v>398</v>
      </c>
      <c r="C127" s="21" t="s">
        <v>214</v>
      </c>
      <c r="D127" s="21" t="s">
        <v>399</v>
      </c>
      <c r="E127" s="21" t="s">
        <v>359</v>
      </c>
      <c r="F127" s="21" t="s">
        <v>178</v>
      </c>
      <c r="G127" s="22" t="s">
        <v>445</v>
      </c>
      <c r="H127" s="22" t="s">
        <v>445</v>
      </c>
      <c r="I127" s="22" t="s">
        <v>477</v>
      </c>
      <c r="J127" s="22" t="s">
        <v>476</v>
      </c>
    </row>
    <row r="128" spans="1:10" x14ac:dyDescent="0.25">
      <c r="A128" s="20" t="s">
        <v>40</v>
      </c>
      <c r="B128" s="21" t="s">
        <v>448</v>
      </c>
      <c r="C128" s="21" t="s">
        <v>214</v>
      </c>
      <c r="D128" s="21" t="s">
        <v>385</v>
      </c>
      <c r="E128" s="21" t="s">
        <v>359</v>
      </c>
      <c r="F128" s="21" t="s">
        <v>178</v>
      </c>
      <c r="G128" s="22" t="s">
        <v>445</v>
      </c>
      <c r="H128" s="22" t="s">
        <v>445</v>
      </c>
      <c r="I128" s="22" t="s">
        <v>476</v>
      </c>
      <c r="J128" s="22" t="s">
        <v>476</v>
      </c>
    </row>
  </sheetData>
  <autoFilter ref="A1:J128" xr:uid="{3D2A0880-DCAD-4A71-9986-44FE69AE1081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0F62-DFDA-4558-9A84-806C2C5C28BC}">
  <dimension ref="A1:C12"/>
  <sheetViews>
    <sheetView workbookViewId="0">
      <selection activeCell="H17" sqref="H17"/>
    </sheetView>
  </sheetViews>
  <sheetFormatPr defaultRowHeight="15" x14ac:dyDescent="0.25"/>
  <cols>
    <col min="1" max="1" width="6.7109375" bestFit="1" customWidth="1"/>
    <col min="2" max="2" width="16.7109375" bestFit="1" customWidth="1"/>
    <col min="3" max="3" width="22.7109375" bestFit="1" customWidth="1"/>
  </cols>
  <sheetData>
    <row r="1" spans="1:3" x14ac:dyDescent="0.25">
      <c r="A1" s="17" t="s">
        <v>421</v>
      </c>
      <c r="B1" s="17" t="s">
        <v>422</v>
      </c>
      <c r="C1" s="17" t="s">
        <v>423</v>
      </c>
    </row>
    <row r="2" spans="1:3" x14ac:dyDescent="0.25">
      <c r="A2" s="19" t="s">
        <v>402</v>
      </c>
      <c r="B2" s="12" t="s">
        <v>411</v>
      </c>
      <c r="C2" s="12" t="str">
        <f>CONCATENATE(A2,"_",B2)</f>
        <v>HPBW_BRAZORIA WEST</v>
      </c>
    </row>
    <row r="3" spans="1:3" x14ac:dyDescent="0.25">
      <c r="A3" s="19" t="s">
        <v>403</v>
      </c>
      <c r="B3" s="12" t="s">
        <v>412</v>
      </c>
      <c r="C3" s="12" t="str">
        <f t="shared" ref="C3:C12" si="0">CONCATENATE(A3,"_",B3)</f>
        <v>HPDS_DILEO SOLAR</v>
      </c>
    </row>
    <row r="4" spans="1:3" x14ac:dyDescent="0.25">
      <c r="A4" s="19" t="s">
        <v>404</v>
      </c>
      <c r="B4" s="12" t="s">
        <v>413</v>
      </c>
      <c r="C4" s="12" t="str">
        <f t="shared" si="0"/>
        <v>HPLO_LONGBOW SOLAR</v>
      </c>
    </row>
    <row r="5" spans="1:3" x14ac:dyDescent="0.25">
      <c r="A5" s="19" t="s">
        <v>405</v>
      </c>
      <c r="B5" s="12" t="s">
        <v>414</v>
      </c>
      <c r="C5" s="12" t="str">
        <f t="shared" si="0"/>
        <v>HPPD_PITTS DUDIK</v>
      </c>
    </row>
    <row r="6" spans="1:3" x14ac:dyDescent="0.25">
      <c r="A6" s="19" t="s">
        <v>406</v>
      </c>
      <c r="B6" s="12" t="s">
        <v>415</v>
      </c>
      <c r="C6" s="12" t="str">
        <f t="shared" si="0"/>
        <v>HPTN_TYSON NICK</v>
      </c>
    </row>
    <row r="7" spans="1:3" x14ac:dyDescent="0.25">
      <c r="A7" s="19" t="s">
        <v>407</v>
      </c>
      <c r="B7" s="12" t="s">
        <v>416</v>
      </c>
      <c r="C7" s="12" t="str">
        <f t="shared" si="0"/>
        <v>HPIS_IMPACT SOLAR</v>
      </c>
    </row>
    <row r="8" spans="1:3" x14ac:dyDescent="0.25">
      <c r="A8" s="19" t="s">
        <v>408</v>
      </c>
      <c r="B8" s="12" t="s">
        <v>417</v>
      </c>
      <c r="C8" s="12" t="str">
        <f t="shared" si="0"/>
        <v>HPSV_SUN VALLEY</v>
      </c>
    </row>
    <row r="9" spans="1:3" x14ac:dyDescent="0.25">
      <c r="A9" s="19" t="s">
        <v>409</v>
      </c>
      <c r="B9" s="12" t="s">
        <v>419</v>
      </c>
      <c r="C9" s="12" t="str">
        <f t="shared" si="0"/>
        <v>HSPL_SOUTH PLAINS</v>
      </c>
    </row>
    <row r="10" spans="1:3" x14ac:dyDescent="0.25">
      <c r="A10" s="19" t="s">
        <v>410</v>
      </c>
      <c r="B10" s="12" t="s">
        <v>420</v>
      </c>
      <c r="C10" s="12" t="str">
        <f t="shared" si="0"/>
        <v>HPLK_LIVE OAK</v>
      </c>
    </row>
    <row r="11" spans="1:3" x14ac:dyDescent="0.25">
      <c r="A11" s="19" t="s">
        <v>450</v>
      </c>
      <c r="B11" s="12" t="s">
        <v>451</v>
      </c>
      <c r="C11" s="12" t="str">
        <f t="shared" si="0"/>
        <v>HPSB_SOFTBANK</v>
      </c>
    </row>
    <row r="12" spans="1:3" x14ac:dyDescent="0.25">
      <c r="A12" s="19" t="s">
        <v>498</v>
      </c>
      <c r="B12" s="12" t="s">
        <v>499</v>
      </c>
      <c r="C12" s="12" t="str">
        <f t="shared" si="0"/>
        <v>HPLU_LUBIO SOLAR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6545-93BD-4543-A2AA-6C7BAACB830A}">
  <dimension ref="A1:B18"/>
  <sheetViews>
    <sheetView workbookViewId="0">
      <selection activeCell="H25" sqref="H25"/>
    </sheetView>
  </sheetViews>
  <sheetFormatPr defaultRowHeight="15" x14ac:dyDescent="0.25"/>
  <cols>
    <col min="1" max="1" width="9" bestFit="1" customWidth="1"/>
    <col min="2" max="2" width="17.28515625" bestFit="1" customWidth="1"/>
  </cols>
  <sheetData>
    <row r="1" spans="1:2" x14ac:dyDescent="0.25">
      <c r="A1" s="6" t="s">
        <v>424</v>
      </c>
      <c r="B1" s="6" t="s">
        <v>422</v>
      </c>
    </row>
    <row r="2" spans="1:2" x14ac:dyDescent="0.25">
      <c r="A2" s="7" t="s">
        <v>425</v>
      </c>
      <c r="B2" s="7" t="s">
        <v>416</v>
      </c>
    </row>
    <row r="3" spans="1:2" x14ac:dyDescent="0.25">
      <c r="A3" s="7" t="s">
        <v>426</v>
      </c>
      <c r="B3" s="7" t="s">
        <v>411</v>
      </c>
    </row>
    <row r="4" spans="1:2" x14ac:dyDescent="0.25">
      <c r="A4" s="7" t="s">
        <v>427</v>
      </c>
      <c r="B4" s="7" t="s">
        <v>411</v>
      </c>
    </row>
    <row r="5" spans="1:2" x14ac:dyDescent="0.25">
      <c r="A5" s="7" t="s">
        <v>428</v>
      </c>
      <c r="B5" s="7" t="s">
        <v>412</v>
      </c>
    </row>
    <row r="6" spans="1:2" x14ac:dyDescent="0.25">
      <c r="A6" s="7" t="s">
        <v>429</v>
      </c>
      <c r="B6" s="7" t="s">
        <v>412</v>
      </c>
    </row>
    <row r="7" spans="1:2" x14ac:dyDescent="0.25">
      <c r="A7" s="7" t="s">
        <v>430</v>
      </c>
      <c r="B7" s="7" t="s">
        <v>420</v>
      </c>
    </row>
    <row r="8" spans="1:2" x14ac:dyDescent="0.25">
      <c r="A8" s="7" t="s">
        <v>431</v>
      </c>
      <c r="B8" s="7" t="s">
        <v>420</v>
      </c>
    </row>
    <row r="9" spans="1:2" x14ac:dyDescent="0.25">
      <c r="A9" s="7" t="s">
        <v>433</v>
      </c>
      <c r="B9" s="7" t="s">
        <v>432</v>
      </c>
    </row>
    <row r="10" spans="1:2" x14ac:dyDescent="0.25">
      <c r="A10" s="7" t="s">
        <v>434</v>
      </c>
      <c r="B10" s="7" t="s">
        <v>432</v>
      </c>
    </row>
    <row r="11" spans="1:2" x14ac:dyDescent="0.25">
      <c r="A11" s="7" t="s">
        <v>435</v>
      </c>
      <c r="B11" s="7" t="s">
        <v>414</v>
      </c>
    </row>
    <row r="12" spans="1:2" x14ac:dyDescent="0.25">
      <c r="A12" s="7" t="s">
        <v>436</v>
      </c>
      <c r="B12" s="7" t="s">
        <v>414</v>
      </c>
    </row>
    <row r="13" spans="1:2" x14ac:dyDescent="0.25">
      <c r="A13" s="7" t="s">
        <v>437</v>
      </c>
      <c r="B13" s="7" t="s">
        <v>414</v>
      </c>
    </row>
    <row r="14" spans="1:2" x14ac:dyDescent="0.25">
      <c r="A14" s="7" t="s">
        <v>438</v>
      </c>
      <c r="B14" s="7" t="s">
        <v>415</v>
      </c>
    </row>
    <row r="15" spans="1:2" x14ac:dyDescent="0.25">
      <c r="A15" s="7" t="s">
        <v>439</v>
      </c>
      <c r="B15" s="7" t="s">
        <v>415</v>
      </c>
    </row>
    <row r="16" spans="1:2" x14ac:dyDescent="0.25">
      <c r="A16" s="7" t="s">
        <v>440</v>
      </c>
      <c r="B16" s="7" t="s">
        <v>415</v>
      </c>
    </row>
    <row r="17" spans="1:2" x14ac:dyDescent="0.25">
      <c r="A17" s="7" t="s">
        <v>441</v>
      </c>
      <c r="B17" s="7" t="s">
        <v>417</v>
      </c>
    </row>
    <row r="18" spans="1:2" x14ac:dyDescent="0.25">
      <c r="A18" s="7" t="s">
        <v>442</v>
      </c>
      <c r="B18" s="7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EDBD-0C32-4837-91F1-B26E385F4599}">
  <dimension ref="A1:H28"/>
  <sheetViews>
    <sheetView workbookViewId="0">
      <selection activeCell="F28" sqref="B28:F28"/>
    </sheetView>
  </sheetViews>
  <sheetFormatPr defaultRowHeight="15" x14ac:dyDescent="0.25"/>
  <cols>
    <col min="1" max="1" width="5" bestFit="1" customWidth="1"/>
    <col min="2" max="2" width="24" bestFit="1" customWidth="1"/>
    <col min="3" max="3" width="5.5703125" bestFit="1" customWidth="1"/>
    <col min="4" max="4" width="20.5703125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1018</v>
      </c>
      <c r="B2" t="s">
        <v>8</v>
      </c>
      <c r="C2" t="str">
        <f>RIGHT(B2,2)</f>
        <v>NJ</v>
      </c>
      <c r="D2" t="s">
        <v>8</v>
      </c>
      <c r="E2" t="s">
        <v>10</v>
      </c>
      <c r="F2" t="s">
        <v>11</v>
      </c>
      <c r="G2" t="s">
        <v>12</v>
      </c>
      <c r="H2" t="str">
        <f t="shared" ref="H2:H27" si="0">CONCATENATE(C2,"_",G2)</f>
        <v>NJ_Solar</v>
      </c>
    </row>
    <row r="3" spans="1:8" x14ac:dyDescent="0.25">
      <c r="A3">
        <v>1024</v>
      </c>
      <c r="B3" t="s">
        <v>13</v>
      </c>
      <c r="C3" t="str">
        <f t="shared" ref="C3:C25" si="1">RIGHT(B3,2)</f>
        <v>NJ</v>
      </c>
      <c r="D3" t="s">
        <v>13</v>
      </c>
      <c r="E3" t="s">
        <v>10</v>
      </c>
      <c r="F3" t="s">
        <v>11</v>
      </c>
      <c r="G3" t="s">
        <v>15</v>
      </c>
      <c r="H3" t="str">
        <f t="shared" si="0"/>
        <v>NJ_Class I</v>
      </c>
    </row>
    <row r="4" spans="1:8" x14ac:dyDescent="0.25">
      <c r="A4">
        <v>1030</v>
      </c>
      <c r="B4" t="s">
        <v>16</v>
      </c>
      <c r="C4" t="str">
        <f t="shared" si="1"/>
        <v>NJ</v>
      </c>
      <c r="D4" t="s">
        <v>16</v>
      </c>
      <c r="E4" t="s">
        <v>10</v>
      </c>
      <c r="F4" t="s">
        <v>11</v>
      </c>
      <c r="G4" t="s">
        <v>18</v>
      </c>
      <c r="H4" t="str">
        <f t="shared" si="0"/>
        <v>NJ_Class II</v>
      </c>
    </row>
    <row r="5" spans="1:8" x14ac:dyDescent="0.25">
      <c r="A5">
        <v>1102</v>
      </c>
      <c r="B5" t="s">
        <v>19</v>
      </c>
      <c r="C5" t="str">
        <f t="shared" si="1"/>
        <v>NJ</v>
      </c>
      <c r="D5" t="s">
        <v>19</v>
      </c>
      <c r="E5" t="s">
        <v>20</v>
      </c>
      <c r="F5" t="s">
        <v>21</v>
      </c>
      <c r="G5" t="s">
        <v>12</v>
      </c>
      <c r="H5" t="str">
        <f t="shared" si="0"/>
        <v>NJ_Solar</v>
      </c>
    </row>
    <row r="6" spans="1:8" x14ac:dyDescent="0.25">
      <c r="A6">
        <v>1108</v>
      </c>
      <c r="B6" t="s">
        <v>22</v>
      </c>
      <c r="C6" t="str">
        <f t="shared" si="1"/>
        <v>NJ</v>
      </c>
      <c r="D6" t="s">
        <v>22</v>
      </c>
      <c r="E6" t="s">
        <v>20</v>
      </c>
      <c r="F6" t="s">
        <v>21</v>
      </c>
      <c r="G6" t="s">
        <v>15</v>
      </c>
      <c r="H6" t="str">
        <f t="shared" si="0"/>
        <v>NJ_Class I</v>
      </c>
    </row>
    <row r="7" spans="1:8" x14ac:dyDescent="0.25">
      <c r="A7">
        <v>1114</v>
      </c>
      <c r="B7" t="s">
        <v>23</v>
      </c>
      <c r="C7" t="str">
        <f t="shared" si="1"/>
        <v>NJ</v>
      </c>
      <c r="D7" t="s">
        <v>23</v>
      </c>
      <c r="E7" t="s">
        <v>20</v>
      </c>
      <c r="F7" t="s">
        <v>21</v>
      </c>
      <c r="G7" t="s">
        <v>18</v>
      </c>
      <c r="H7" t="str">
        <f t="shared" si="0"/>
        <v>NJ_Class II</v>
      </c>
    </row>
    <row r="8" spans="1:8" x14ac:dyDescent="0.25">
      <c r="A8">
        <v>1444</v>
      </c>
      <c r="B8" t="s">
        <v>24</v>
      </c>
      <c r="C8" t="str">
        <f t="shared" si="1"/>
        <v>OH</v>
      </c>
      <c r="D8" t="s">
        <v>24</v>
      </c>
      <c r="E8" t="s">
        <v>10</v>
      </c>
      <c r="F8" t="s">
        <v>11</v>
      </c>
      <c r="G8" t="s">
        <v>26</v>
      </c>
      <c r="H8" t="str">
        <f t="shared" si="0"/>
        <v>OH_Renewable</v>
      </c>
    </row>
    <row r="9" spans="1:8" x14ac:dyDescent="0.25">
      <c r="A9">
        <v>1569</v>
      </c>
      <c r="B9" t="s">
        <v>27</v>
      </c>
      <c r="C9" t="str">
        <f t="shared" si="1"/>
        <v>OH</v>
      </c>
      <c r="D9" t="s">
        <v>27</v>
      </c>
      <c r="E9" t="s">
        <v>20</v>
      </c>
      <c r="F9" t="s">
        <v>21</v>
      </c>
      <c r="G9" t="s">
        <v>26</v>
      </c>
      <c r="H9" t="str">
        <f t="shared" si="0"/>
        <v>OH_Renewable</v>
      </c>
    </row>
    <row r="10" spans="1:8" x14ac:dyDescent="0.25">
      <c r="A10">
        <v>1014</v>
      </c>
      <c r="B10" t="s">
        <v>28</v>
      </c>
      <c r="C10" t="str">
        <f t="shared" si="1"/>
        <v>DC</v>
      </c>
      <c r="D10" t="s">
        <v>28</v>
      </c>
      <c r="E10" t="s">
        <v>10</v>
      </c>
      <c r="F10" t="s">
        <v>11</v>
      </c>
      <c r="G10" t="s">
        <v>12</v>
      </c>
      <c r="H10" t="str">
        <f t="shared" si="0"/>
        <v>DC_Solar</v>
      </c>
    </row>
    <row r="11" spans="1:8" x14ac:dyDescent="0.25">
      <c r="A11">
        <v>1020</v>
      </c>
      <c r="B11" t="s">
        <v>30</v>
      </c>
      <c r="C11" t="str">
        <f t="shared" si="1"/>
        <v>DC</v>
      </c>
      <c r="D11" t="s">
        <v>30</v>
      </c>
      <c r="E11" t="s">
        <v>10</v>
      </c>
      <c r="F11" t="s">
        <v>11</v>
      </c>
      <c r="G11" t="s">
        <v>32</v>
      </c>
      <c r="H11" t="str">
        <f t="shared" si="0"/>
        <v>DC_Tier I</v>
      </c>
    </row>
    <row r="12" spans="1:8" x14ac:dyDescent="0.25">
      <c r="A12">
        <v>1098</v>
      </c>
      <c r="B12" t="s">
        <v>33</v>
      </c>
      <c r="C12" t="str">
        <f t="shared" si="1"/>
        <v>DC</v>
      </c>
      <c r="D12" t="s">
        <v>33</v>
      </c>
      <c r="E12" t="s">
        <v>20</v>
      </c>
      <c r="F12" t="s">
        <v>21</v>
      </c>
      <c r="G12" t="s">
        <v>12</v>
      </c>
      <c r="H12" t="str">
        <f t="shared" si="0"/>
        <v>DC_Solar</v>
      </c>
    </row>
    <row r="13" spans="1:8" x14ac:dyDescent="0.25">
      <c r="A13">
        <v>1104</v>
      </c>
      <c r="B13" t="s">
        <v>34</v>
      </c>
      <c r="C13" t="str">
        <f t="shared" si="1"/>
        <v>DC</v>
      </c>
      <c r="D13" t="s">
        <v>34</v>
      </c>
      <c r="E13" t="s">
        <v>20</v>
      </c>
      <c r="F13" t="s">
        <v>21</v>
      </c>
      <c r="G13" t="s">
        <v>32</v>
      </c>
      <c r="H13" t="str">
        <f t="shared" si="0"/>
        <v>DC_Tier I</v>
      </c>
    </row>
    <row r="14" spans="1:8" x14ac:dyDescent="0.25">
      <c r="A14">
        <v>1017</v>
      </c>
      <c r="B14" t="s">
        <v>35</v>
      </c>
      <c r="C14" t="str">
        <f t="shared" si="1"/>
        <v>MD</v>
      </c>
      <c r="D14" t="s">
        <v>35</v>
      </c>
      <c r="E14" t="s">
        <v>10</v>
      </c>
      <c r="F14" t="s">
        <v>11</v>
      </c>
      <c r="G14" t="s">
        <v>12</v>
      </c>
      <c r="H14" t="str">
        <f t="shared" si="0"/>
        <v>MD_Solar</v>
      </c>
    </row>
    <row r="15" spans="1:8" x14ac:dyDescent="0.25">
      <c r="A15">
        <v>1023</v>
      </c>
      <c r="B15" t="s">
        <v>37</v>
      </c>
      <c r="C15" t="str">
        <f t="shared" si="1"/>
        <v>MD</v>
      </c>
      <c r="D15" t="s">
        <v>37</v>
      </c>
      <c r="E15" t="s">
        <v>10</v>
      </c>
      <c r="F15" t="s">
        <v>11</v>
      </c>
      <c r="G15" t="s">
        <v>32</v>
      </c>
      <c r="H15" t="str">
        <f t="shared" si="0"/>
        <v>MD_Tier I</v>
      </c>
    </row>
    <row r="16" spans="1:8" x14ac:dyDescent="0.25">
      <c r="A16">
        <v>1029</v>
      </c>
      <c r="B16" t="s">
        <v>39</v>
      </c>
      <c r="C16" t="str">
        <f t="shared" si="1"/>
        <v>MD</v>
      </c>
      <c r="D16" t="s">
        <v>39</v>
      </c>
      <c r="E16" t="s">
        <v>10</v>
      </c>
      <c r="F16" t="s">
        <v>11</v>
      </c>
      <c r="G16" t="s">
        <v>41</v>
      </c>
      <c r="H16" t="str">
        <f t="shared" si="0"/>
        <v>MD_Tier II</v>
      </c>
    </row>
    <row r="17" spans="1:8" x14ac:dyDescent="0.25">
      <c r="A17">
        <v>1101</v>
      </c>
      <c r="B17" t="s">
        <v>42</v>
      </c>
      <c r="C17" t="str">
        <f t="shared" si="1"/>
        <v>MD</v>
      </c>
      <c r="D17" t="s">
        <v>42</v>
      </c>
      <c r="E17" t="s">
        <v>20</v>
      </c>
      <c r="F17" t="s">
        <v>21</v>
      </c>
      <c r="G17" t="s">
        <v>12</v>
      </c>
      <c r="H17" t="str">
        <f t="shared" si="0"/>
        <v>MD_Solar</v>
      </c>
    </row>
    <row r="18" spans="1:8" x14ac:dyDescent="0.25">
      <c r="A18">
        <v>1107</v>
      </c>
      <c r="B18" t="s">
        <v>43</v>
      </c>
      <c r="C18" t="str">
        <f t="shared" si="1"/>
        <v>MD</v>
      </c>
      <c r="D18" t="s">
        <v>43</v>
      </c>
      <c r="E18" t="s">
        <v>20</v>
      </c>
      <c r="F18" t="s">
        <v>21</v>
      </c>
      <c r="G18" t="s">
        <v>32</v>
      </c>
      <c r="H18" t="str">
        <f t="shared" si="0"/>
        <v>MD_Tier I</v>
      </c>
    </row>
    <row r="19" spans="1:8" x14ac:dyDescent="0.25">
      <c r="A19">
        <v>1113</v>
      </c>
      <c r="B19" t="s">
        <v>44</v>
      </c>
      <c r="C19" t="str">
        <f t="shared" si="1"/>
        <v>MD</v>
      </c>
      <c r="D19" t="s">
        <v>44</v>
      </c>
      <c r="E19" t="s">
        <v>20</v>
      </c>
      <c r="F19" t="s">
        <v>21</v>
      </c>
      <c r="G19" t="s">
        <v>41</v>
      </c>
      <c r="H19" t="str">
        <f t="shared" si="0"/>
        <v>MD_Tier II</v>
      </c>
    </row>
    <row r="20" spans="1:8" x14ac:dyDescent="0.25">
      <c r="A20">
        <v>1019</v>
      </c>
      <c r="B20" t="s">
        <v>45</v>
      </c>
      <c r="C20" t="str">
        <f t="shared" si="1"/>
        <v>PA</v>
      </c>
      <c r="D20" t="s">
        <v>45</v>
      </c>
      <c r="E20" t="s">
        <v>10</v>
      </c>
      <c r="F20" t="s">
        <v>11</v>
      </c>
      <c r="G20" t="s">
        <v>12</v>
      </c>
      <c r="H20" t="str">
        <f t="shared" si="0"/>
        <v>PA_Solar</v>
      </c>
    </row>
    <row r="21" spans="1:8" x14ac:dyDescent="0.25">
      <c r="A21">
        <v>1025</v>
      </c>
      <c r="B21" t="s">
        <v>47</v>
      </c>
      <c r="C21" t="str">
        <f t="shared" si="1"/>
        <v>PA</v>
      </c>
      <c r="D21" t="s">
        <v>47</v>
      </c>
      <c r="E21" t="s">
        <v>10</v>
      </c>
      <c r="F21" t="s">
        <v>11</v>
      </c>
      <c r="G21" t="s">
        <v>32</v>
      </c>
      <c r="H21" t="str">
        <f t="shared" si="0"/>
        <v>PA_Tier I</v>
      </c>
    </row>
    <row r="22" spans="1:8" x14ac:dyDescent="0.25">
      <c r="A22">
        <v>1031</v>
      </c>
      <c r="B22" t="s">
        <v>49</v>
      </c>
      <c r="C22" t="str">
        <f t="shared" si="1"/>
        <v>PA</v>
      </c>
      <c r="D22" t="s">
        <v>49</v>
      </c>
      <c r="E22" t="s">
        <v>10</v>
      </c>
      <c r="F22" t="s">
        <v>11</v>
      </c>
      <c r="G22" t="s">
        <v>41</v>
      </c>
      <c r="H22" t="str">
        <f t="shared" si="0"/>
        <v>PA_Tier II</v>
      </c>
    </row>
    <row r="23" spans="1:8" x14ac:dyDescent="0.25">
      <c r="A23">
        <v>1103</v>
      </c>
      <c r="B23" t="s">
        <v>51</v>
      </c>
      <c r="C23" t="str">
        <f t="shared" si="1"/>
        <v>PA</v>
      </c>
      <c r="D23" t="s">
        <v>51</v>
      </c>
      <c r="E23" t="s">
        <v>20</v>
      </c>
      <c r="F23" t="s">
        <v>21</v>
      </c>
      <c r="G23" t="s">
        <v>12</v>
      </c>
      <c r="H23" t="str">
        <f t="shared" si="0"/>
        <v>PA_Solar</v>
      </c>
    </row>
    <row r="24" spans="1:8" x14ac:dyDescent="0.25">
      <c r="A24">
        <v>1109</v>
      </c>
      <c r="B24" t="s">
        <v>52</v>
      </c>
      <c r="C24" t="str">
        <f t="shared" si="1"/>
        <v>PA</v>
      </c>
      <c r="D24" t="s">
        <v>52</v>
      </c>
      <c r="E24" t="s">
        <v>20</v>
      </c>
      <c r="F24" t="s">
        <v>21</v>
      </c>
      <c r="G24" t="s">
        <v>32</v>
      </c>
      <c r="H24" t="str">
        <f t="shared" si="0"/>
        <v>PA_Tier I</v>
      </c>
    </row>
    <row r="25" spans="1:8" x14ac:dyDescent="0.25">
      <c r="A25">
        <v>1115</v>
      </c>
      <c r="B25" t="s">
        <v>53</v>
      </c>
      <c r="C25" t="str">
        <f t="shared" si="1"/>
        <v>PA</v>
      </c>
      <c r="D25" t="s">
        <v>53</v>
      </c>
      <c r="E25" t="s">
        <v>20</v>
      </c>
      <c r="F25" t="s">
        <v>21</v>
      </c>
      <c r="G25" t="s">
        <v>41</v>
      </c>
      <c r="H25" t="str">
        <f t="shared" si="0"/>
        <v>PA_Tier II</v>
      </c>
    </row>
    <row r="26" spans="1:8" x14ac:dyDescent="0.25">
      <c r="A26">
        <v>1179</v>
      </c>
      <c r="B26" t="s">
        <v>171</v>
      </c>
      <c r="C26" t="s">
        <v>168</v>
      </c>
      <c r="D26" t="s">
        <v>171</v>
      </c>
      <c r="E26" t="s">
        <v>10</v>
      </c>
      <c r="F26" t="s">
        <v>11</v>
      </c>
      <c r="G26" t="s">
        <v>486</v>
      </c>
      <c r="H26" t="str">
        <f t="shared" si="0"/>
        <v>MD_Geothermal</v>
      </c>
    </row>
    <row r="27" spans="1:8" x14ac:dyDescent="0.25">
      <c r="A27">
        <v>1191</v>
      </c>
      <c r="B27" t="s">
        <v>167</v>
      </c>
      <c r="C27" t="s">
        <v>168</v>
      </c>
      <c r="D27" t="s">
        <v>167</v>
      </c>
      <c r="E27" t="s">
        <v>20</v>
      </c>
      <c r="F27" t="s">
        <v>21</v>
      </c>
      <c r="G27" t="s">
        <v>486</v>
      </c>
      <c r="H27" t="str">
        <f t="shared" si="0"/>
        <v>MD_Geothermal</v>
      </c>
    </row>
    <row r="28" spans="1:8" x14ac:dyDescent="0.25">
      <c r="B28" t="s">
        <v>497</v>
      </c>
      <c r="D28" t="s">
        <v>497</v>
      </c>
      <c r="E28" t="s">
        <v>20</v>
      </c>
      <c r="F28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C171-F448-4F9B-9D32-E7826D0480F2}">
  <dimension ref="A1:H3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2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514</v>
      </c>
      <c r="B2" t="s">
        <v>85</v>
      </c>
      <c r="C2" t="s">
        <v>84</v>
      </c>
      <c r="D2" t="s">
        <v>85</v>
      </c>
      <c r="E2" t="s">
        <v>10</v>
      </c>
      <c r="F2" t="s">
        <v>11</v>
      </c>
      <c r="G2" t="s">
        <v>92</v>
      </c>
      <c r="H2" t="s">
        <v>87</v>
      </c>
    </row>
    <row r="3" spans="1:8" x14ac:dyDescent="0.25">
      <c r="A3">
        <v>524</v>
      </c>
      <c r="B3" t="s">
        <v>86</v>
      </c>
      <c r="C3" t="s">
        <v>84</v>
      </c>
      <c r="D3" t="s">
        <v>86</v>
      </c>
      <c r="E3" t="s">
        <v>20</v>
      </c>
      <c r="F3" t="s">
        <v>21</v>
      </c>
      <c r="G3" t="s">
        <v>92</v>
      </c>
      <c r="H3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CAFA-07D1-498C-8AFA-92A25CF0A2F9}">
  <dimension ref="A1:I27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0.5703125" bestFit="1" customWidth="1"/>
    <col min="5" max="5" width="21" bestFit="1" customWidth="1"/>
    <col min="6" max="6" width="12" bestFit="1" customWidth="1"/>
    <col min="7" max="7" width="6.140625" bestFit="1" customWidth="1"/>
    <col min="8" max="8" width="16.140625" bestFit="1" customWidth="1"/>
    <col min="9" max="9" width="2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</row>
    <row r="2" spans="1:9" x14ac:dyDescent="0.25">
      <c r="A2">
        <v>1018</v>
      </c>
      <c r="B2" t="s">
        <v>8</v>
      </c>
      <c r="C2" t="str">
        <f>RIGHT(B2,2)</f>
        <v>NJ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tr">
        <f>CONCATENATE(C2,"_",H2)</f>
        <v>NJ_Solar</v>
      </c>
    </row>
    <row r="3" spans="1:9" x14ac:dyDescent="0.25">
      <c r="A3">
        <v>1024</v>
      </c>
      <c r="B3" t="s">
        <v>13</v>
      </c>
      <c r="C3" t="str">
        <f t="shared" ref="C3:C25" si="0">RIGHT(B3,2)</f>
        <v>NJ</v>
      </c>
      <c r="D3" t="s">
        <v>13</v>
      </c>
      <c r="E3" t="s">
        <v>14</v>
      </c>
      <c r="F3" t="s">
        <v>10</v>
      </c>
      <c r="G3" t="s">
        <v>11</v>
      </c>
      <c r="H3" t="s">
        <v>15</v>
      </c>
      <c r="I3" t="str">
        <f t="shared" ref="I3:I25" si="1">CONCATENATE(C3,"_",H3)</f>
        <v>NJ_Class I</v>
      </c>
    </row>
    <row r="4" spans="1:9" x14ac:dyDescent="0.25">
      <c r="A4">
        <v>1030</v>
      </c>
      <c r="B4" t="s">
        <v>16</v>
      </c>
      <c r="C4" t="str">
        <f t="shared" si="0"/>
        <v>NJ</v>
      </c>
      <c r="D4" t="s">
        <v>16</v>
      </c>
      <c r="E4" t="s">
        <v>17</v>
      </c>
      <c r="F4" t="s">
        <v>10</v>
      </c>
      <c r="G4" t="s">
        <v>11</v>
      </c>
      <c r="H4" t="s">
        <v>18</v>
      </c>
      <c r="I4" t="str">
        <f t="shared" si="1"/>
        <v>NJ_Class II</v>
      </c>
    </row>
    <row r="5" spans="1:9" x14ac:dyDescent="0.25">
      <c r="A5">
        <v>1102</v>
      </c>
      <c r="B5" t="s">
        <v>19</v>
      </c>
      <c r="C5" t="str">
        <f t="shared" si="0"/>
        <v>NJ</v>
      </c>
      <c r="D5" t="s">
        <v>19</v>
      </c>
      <c r="E5" t="s">
        <v>9</v>
      </c>
      <c r="F5" t="s">
        <v>20</v>
      </c>
      <c r="G5" t="s">
        <v>21</v>
      </c>
      <c r="H5" t="s">
        <v>12</v>
      </c>
      <c r="I5" t="str">
        <f t="shared" si="1"/>
        <v>NJ_Solar</v>
      </c>
    </row>
    <row r="6" spans="1:9" x14ac:dyDescent="0.25">
      <c r="A6">
        <v>1108</v>
      </c>
      <c r="B6" t="s">
        <v>22</v>
      </c>
      <c r="C6" t="str">
        <f t="shared" si="0"/>
        <v>NJ</v>
      </c>
      <c r="D6" t="s">
        <v>22</v>
      </c>
      <c r="E6" t="s">
        <v>14</v>
      </c>
      <c r="F6" t="s">
        <v>20</v>
      </c>
      <c r="G6" t="s">
        <v>21</v>
      </c>
      <c r="H6" t="s">
        <v>15</v>
      </c>
      <c r="I6" t="str">
        <f t="shared" si="1"/>
        <v>NJ_Class I</v>
      </c>
    </row>
    <row r="7" spans="1:9" x14ac:dyDescent="0.25">
      <c r="A7">
        <v>1114</v>
      </c>
      <c r="B7" t="s">
        <v>23</v>
      </c>
      <c r="C7" t="str">
        <f t="shared" si="0"/>
        <v>NJ</v>
      </c>
      <c r="D7" t="s">
        <v>23</v>
      </c>
      <c r="E7" t="s">
        <v>17</v>
      </c>
      <c r="F7" t="s">
        <v>20</v>
      </c>
      <c r="G7" t="s">
        <v>21</v>
      </c>
      <c r="H7" t="s">
        <v>18</v>
      </c>
      <c r="I7" t="str">
        <f t="shared" si="1"/>
        <v>NJ_Class II</v>
      </c>
    </row>
    <row r="8" spans="1:9" x14ac:dyDescent="0.25">
      <c r="A8">
        <v>1444</v>
      </c>
      <c r="B8" t="s">
        <v>24</v>
      </c>
      <c r="C8" t="str">
        <f t="shared" si="0"/>
        <v>OH</v>
      </c>
      <c r="D8" t="s">
        <v>24</v>
      </c>
      <c r="E8" t="s">
        <v>25</v>
      </c>
      <c r="F8" t="s">
        <v>10</v>
      </c>
      <c r="G8" t="s">
        <v>11</v>
      </c>
      <c r="H8" t="s">
        <v>26</v>
      </c>
      <c r="I8" t="str">
        <f t="shared" si="1"/>
        <v>OH_Renewable</v>
      </c>
    </row>
    <row r="9" spans="1:9" x14ac:dyDescent="0.25">
      <c r="A9">
        <v>1569</v>
      </c>
      <c r="B9" t="s">
        <v>27</v>
      </c>
      <c r="C9" t="str">
        <f t="shared" si="0"/>
        <v>OH</v>
      </c>
      <c r="D9" t="s">
        <v>27</v>
      </c>
      <c r="E9" t="s">
        <v>25</v>
      </c>
      <c r="F9" t="s">
        <v>20</v>
      </c>
      <c r="G9" t="s">
        <v>21</v>
      </c>
      <c r="H9" t="s">
        <v>26</v>
      </c>
      <c r="I9" t="str">
        <f t="shared" si="1"/>
        <v>OH_Renewable</v>
      </c>
    </row>
    <row r="10" spans="1:9" x14ac:dyDescent="0.25">
      <c r="A10">
        <v>1014</v>
      </c>
      <c r="B10" t="s">
        <v>28</v>
      </c>
      <c r="C10" t="str">
        <f t="shared" si="0"/>
        <v>DC</v>
      </c>
      <c r="D10" t="s">
        <v>28</v>
      </c>
      <c r="E10" t="s">
        <v>29</v>
      </c>
      <c r="F10" t="s">
        <v>10</v>
      </c>
      <c r="G10" t="s">
        <v>11</v>
      </c>
      <c r="H10" t="s">
        <v>12</v>
      </c>
      <c r="I10" t="str">
        <f t="shared" si="1"/>
        <v>DC_Solar</v>
      </c>
    </row>
    <row r="11" spans="1:9" x14ac:dyDescent="0.25">
      <c r="A11">
        <v>1020</v>
      </c>
      <c r="B11" t="s">
        <v>30</v>
      </c>
      <c r="C11" t="str">
        <f t="shared" si="0"/>
        <v>DC</v>
      </c>
      <c r="D11" t="s">
        <v>30</v>
      </c>
      <c r="E11" t="s">
        <v>31</v>
      </c>
      <c r="F11" t="s">
        <v>10</v>
      </c>
      <c r="G11" t="s">
        <v>11</v>
      </c>
      <c r="H11" t="s">
        <v>32</v>
      </c>
      <c r="I11" t="str">
        <f t="shared" si="1"/>
        <v>DC_Tier I</v>
      </c>
    </row>
    <row r="12" spans="1:9" x14ac:dyDescent="0.25">
      <c r="A12">
        <v>1098</v>
      </c>
      <c r="B12" t="s">
        <v>33</v>
      </c>
      <c r="C12" t="str">
        <f t="shared" si="0"/>
        <v>DC</v>
      </c>
      <c r="D12" t="s">
        <v>33</v>
      </c>
      <c r="E12" t="s">
        <v>29</v>
      </c>
      <c r="F12" t="s">
        <v>20</v>
      </c>
      <c r="G12" t="s">
        <v>21</v>
      </c>
      <c r="H12" t="s">
        <v>12</v>
      </c>
      <c r="I12" t="str">
        <f t="shared" si="1"/>
        <v>DC_Solar</v>
      </c>
    </row>
    <row r="13" spans="1:9" x14ac:dyDescent="0.25">
      <c r="A13">
        <v>1104</v>
      </c>
      <c r="B13" t="s">
        <v>34</v>
      </c>
      <c r="C13" t="str">
        <f t="shared" si="0"/>
        <v>DC</v>
      </c>
      <c r="D13" t="s">
        <v>34</v>
      </c>
      <c r="E13" t="s">
        <v>31</v>
      </c>
      <c r="F13" t="s">
        <v>20</v>
      </c>
      <c r="G13" t="s">
        <v>21</v>
      </c>
      <c r="H13" t="s">
        <v>32</v>
      </c>
      <c r="I13" t="str">
        <f t="shared" si="1"/>
        <v>DC_Tier I</v>
      </c>
    </row>
    <row r="14" spans="1:9" x14ac:dyDescent="0.25">
      <c r="A14">
        <v>1017</v>
      </c>
      <c r="B14" t="s">
        <v>35</v>
      </c>
      <c r="C14" t="str">
        <f t="shared" si="0"/>
        <v>MD</v>
      </c>
      <c r="D14" t="s">
        <v>35</v>
      </c>
      <c r="E14" t="s">
        <v>36</v>
      </c>
      <c r="F14" t="s">
        <v>10</v>
      </c>
      <c r="G14" t="s">
        <v>11</v>
      </c>
      <c r="H14" t="s">
        <v>12</v>
      </c>
      <c r="I14" t="str">
        <f t="shared" si="1"/>
        <v>MD_Solar</v>
      </c>
    </row>
    <row r="15" spans="1:9" x14ac:dyDescent="0.25">
      <c r="A15">
        <v>1023</v>
      </c>
      <c r="B15" t="s">
        <v>37</v>
      </c>
      <c r="C15" t="str">
        <f t="shared" si="0"/>
        <v>MD</v>
      </c>
      <c r="D15" t="s">
        <v>37</v>
      </c>
      <c r="E15" t="s">
        <v>38</v>
      </c>
      <c r="F15" t="s">
        <v>10</v>
      </c>
      <c r="G15" t="s">
        <v>11</v>
      </c>
      <c r="H15" t="s">
        <v>32</v>
      </c>
      <c r="I15" t="str">
        <f t="shared" si="1"/>
        <v>MD_Tier I</v>
      </c>
    </row>
    <row r="16" spans="1:9" x14ac:dyDescent="0.25">
      <c r="A16">
        <v>1029</v>
      </c>
      <c r="B16" t="s">
        <v>39</v>
      </c>
      <c r="C16" t="str">
        <f t="shared" si="0"/>
        <v>MD</v>
      </c>
      <c r="D16" t="s">
        <v>39</v>
      </c>
      <c r="E16" t="s">
        <v>40</v>
      </c>
      <c r="F16" t="s">
        <v>10</v>
      </c>
      <c r="G16" t="s">
        <v>11</v>
      </c>
      <c r="H16" t="s">
        <v>41</v>
      </c>
      <c r="I16" t="str">
        <f t="shared" si="1"/>
        <v>MD_Tier II</v>
      </c>
    </row>
    <row r="17" spans="1:9" x14ac:dyDescent="0.25">
      <c r="A17">
        <v>1101</v>
      </c>
      <c r="B17" t="s">
        <v>42</v>
      </c>
      <c r="C17" t="str">
        <f t="shared" si="0"/>
        <v>MD</v>
      </c>
      <c r="D17" t="s">
        <v>42</v>
      </c>
      <c r="E17" t="s">
        <v>36</v>
      </c>
      <c r="F17" t="s">
        <v>20</v>
      </c>
      <c r="G17" t="s">
        <v>21</v>
      </c>
      <c r="H17" t="s">
        <v>12</v>
      </c>
      <c r="I17" t="str">
        <f t="shared" si="1"/>
        <v>MD_Solar</v>
      </c>
    </row>
    <row r="18" spans="1:9" x14ac:dyDescent="0.25">
      <c r="A18">
        <v>1107</v>
      </c>
      <c r="B18" t="s">
        <v>43</v>
      </c>
      <c r="C18" t="str">
        <f t="shared" si="0"/>
        <v>MD</v>
      </c>
      <c r="D18" t="s">
        <v>43</v>
      </c>
      <c r="E18" t="s">
        <v>38</v>
      </c>
      <c r="F18" t="s">
        <v>20</v>
      </c>
      <c r="G18" t="s">
        <v>21</v>
      </c>
      <c r="H18" t="s">
        <v>32</v>
      </c>
      <c r="I18" t="str">
        <f t="shared" si="1"/>
        <v>MD_Tier I</v>
      </c>
    </row>
    <row r="19" spans="1:9" x14ac:dyDescent="0.25">
      <c r="A19">
        <v>1113</v>
      </c>
      <c r="B19" t="s">
        <v>44</v>
      </c>
      <c r="C19" t="str">
        <f t="shared" si="0"/>
        <v>MD</v>
      </c>
      <c r="D19" t="s">
        <v>44</v>
      </c>
      <c r="E19" t="s">
        <v>40</v>
      </c>
      <c r="F19" t="s">
        <v>20</v>
      </c>
      <c r="G19" t="s">
        <v>21</v>
      </c>
      <c r="H19" t="s">
        <v>41</v>
      </c>
      <c r="I19" t="str">
        <f t="shared" si="1"/>
        <v>MD_Tier II</v>
      </c>
    </row>
    <row r="20" spans="1:9" x14ac:dyDescent="0.25">
      <c r="A20">
        <v>1019</v>
      </c>
      <c r="B20" t="s">
        <v>45</v>
      </c>
      <c r="C20" t="str">
        <f t="shared" si="0"/>
        <v>PA</v>
      </c>
      <c r="D20" t="s">
        <v>45</v>
      </c>
      <c r="E20" t="s">
        <v>46</v>
      </c>
      <c r="F20" t="s">
        <v>10</v>
      </c>
      <c r="G20" t="s">
        <v>11</v>
      </c>
      <c r="H20" t="s">
        <v>12</v>
      </c>
      <c r="I20" t="str">
        <f t="shared" si="1"/>
        <v>PA_Solar</v>
      </c>
    </row>
    <row r="21" spans="1:9" x14ac:dyDescent="0.25">
      <c r="A21">
        <v>1025</v>
      </c>
      <c r="B21" t="s">
        <v>47</v>
      </c>
      <c r="C21" t="str">
        <f t="shared" si="0"/>
        <v>PA</v>
      </c>
      <c r="D21" t="s">
        <v>47</v>
      </c>
      <c r="E21" t="s">
        <v>48</v>
      </c>
      <c r="F21" t="s">
        <v>10</v>
      </c>
      <c r="G21" t="s">
        <v>11</v>
      </c>
      <c r="H21" t="s">
        <v>32</v>
      </c>
      <c r="I21" t="str">
        <f t="shared" si="1"/>
        <v>PA_Tier I</v>
      </c>
    </row>
    <row r="22" spans="1:9" x14ac:dyDescent="0.25">
      <c r="A22">
        <v>1031</v>
      </c>
      <c r="B22" t="s">
        <v>49</v>
      </c>
      <c r="C22" t="str">
        <f t="shared" si="0"/>
        <v>PA</v>
      </c>
      <c r="D22" t="s">
        <v>49</v>
      </c>
      <c r="E22" t="s">
        <v>50</v>
      </c>
      <c r="F22" t="s">
        <v>10</v>
      </c>
      <c r="G22" t="s">
        <v>11</v>
      </c>
      <c r="H22" t="s">
        <v>41</v>
      </c>
      <c r="I22" t="str">
        <f t="shared" si="1"/>
        <v>PA_Tier II</v>
      </c>
    </row>
    <row r="23" spans="1:9" x14ac:dyDescent="0.25">
      <c r="A23">
        <v>1103</v>
      </c>
      <c r="B23" t="s">
        <v>51</v>
      </c>
      <c r="C23" t="str">
        <f t="shared" si="0"/>
        <v>PA</v>
      </c>
      <c r="D23" t="s">
        <v>51</v>
      </c>
      <c r="E23" t="s">
        <v>46</v>
      </c>
      <c r="F23" t="s">
        <v>20</v>
      </c>
      <c r="G23" t="s">
        <v>21</v>
      </c>
      <c r="H23" t="s">
        <v>12</v>
      </c>
      <c r="I23" t="str">
        <f t="shared" si="1"/>
        <v>PA_Solar</v>
      </c>
    </row>
    <row r="24" spans="1:9" x14ac:dyDescent="0.25">
      <c r="A24">
        <v>1109</v>
      </c>
      <c r="B24" t="s">
        <v>52</v>
      </c>
      <c r="C24" t="str">
        <f t="shared" si="0"/>
        <v>PA</v>
      </c>
      <c r="D24" t="s">
        <v>52</v>
      </c>
      <c r="E24" t="s">
        <v>48</v>
      </c>
      <c r="F24" t="s">
        <v>20</v>
      </c>
      <c r="G24" t="s">
        <v>21</v>
      </c>
      <c r="H24" t="s">
        <v>32</v>
      </c>
      <c r="I24" t="str">
        <f t="shared" si="1"/>
        <v>PA_Tier I</v>
      </c>
    </row>
    <row r="25" spans="1:9" x14ac:dyDescent="0.25">
      <c r="A25">
        <v>1115</v>
      </c>
      <c r="B25" t="s">
        <v>53</v>
      </c>
      <c r="C25" t="str">
        <f t="shared" si="0"/>
        <v>PA</v>
      </c>
      <c r="D25" t="s">
        <v>53</v>
      </c>
      <c r="E25" t="s">
        <v>50</v>
      </c>
      <c r="F25" t="s">
        <v>20</v>
      </c>
      <c r="G25" t="s">
        <v>21</v>
      </c>
      <c r="H25" t="s">
        <v>41</v>
      </c>
      <c r="I25" t="str">
        <f t="shared" si="1"/>
        <v>PA_Tier II</v>
      </c>
    </row>
    <row r="26" spans="1:9" x14ac:dyDescent="0.25">
      <c r="A26">
        <v>1191</v>
      </c>
      <c r="B26" t="s">
        <v>167</v>
      </c>
      <c r="C26" t="s">
        <v>168</v>
      </c>
      <c r="D26" t="s">
        <v>167</v>
      </c>
      <c r="F26" t="s">
        <v>20</v>
      </c>
      <c r="G26" t="s">
        <v>21</v>
      </c>
      <c r="H26" t="s">
        <v>170</v>
      </c>
      <c r="I26" t="s">
        <v>169</v>
      </c>
    </row>
    <row r="27" spans="1:9" x14ac:dyDescent="0.25">
      <c r="A27">
        <v>1179</v>
      </c>
      <c r="B27" t="s">
        <v>171</v>
      </c>
      <c r="C27" t="s">
        <v>168</v>
      </c>
      <c r="D27" t="s">
        <v>171</v>
      </c>
      <c r="F27" t="s">
        <v>10</v>
      </c>
      <c r="G27" t="s">
        <v>11</v>
      </c>
      <c r="H27" t="s">
        <v>170</v>
      </c>
      <c r="I27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3F16-0243-4B6B-9596-09A064F8B4E3}">
  <dimension ref="A1:H3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1.85546875" bestFit="1" customWidth="1"/>
    <col min="3" max="3" width="5.5703125" bestFit="1" customWidth="1"/>
    <col min="4" max="4" width="22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8" x14ac:dyDescent="0.25">
      <c r="A2">
        <v>746</v>
      </c>
      <c r="B2" t="s">
        <v>88</v>
      </c>
      <c r="C2" t="s">
        <v>90</v>
      </c>
      <c r="D2" t="s">
        <v>88</v>
      </c>
      <c r="E2" t="s">
        <v>10</v>
      </c>
      <c r="F2" t="s">
        <v>11</v>
      </c>
      <c r="G2" t="s">
        <v>32</v>
      </c>
      <c r="H2" t="s">
        <v>91</v>
      </c>
    </row>
    <row r="3" spans="1:8" x14ac:dyDescent="0.25">
      <c r="A3">
        <v>759</v>
      </c>
      <c r="B3" t="s">
        <v>89</v>
      </c>
      <c r="C3" t="s">
        <v>90</v>
      </c>
      <c r="D3" t="s">
        <v>89</v>
      </c>
      <c r="E3" t="s">
        <v>20</v>
      </c>
      <c r="F3" t="s">
        <v>21</v>
      </c>
      <c r="G3" t="s">
        <v>32</v>
      </c>
      <c r="H3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5C7B-DC74-4628-8D05-6EBFE4FA746D}">
  <dimension ref="A1:R41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23.5703125" bestFit="1" customWidth="1"/>
    <col min="3" max="3" width="5.5703125" bestFit="1" customWidth="1"/>
    <col min="4" max="4" width="23.5703125" bestFit="1" customWidth="1"/>
    <col min="5" max="5" width="12" bestFit="1" customWidth="1"/>
    <col min="6" max="6" width="6.140625" bestFit="1" customWidth="1"/>
    <col min="7" max="7" width="16.140625" bestFit="1" customWidth="1"/>
    <col min="8" max="8" width="22.7109375" bestFit="1" customWidth="1"/>
    <col min="13" max="16" width="24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54</v>
      </c>
    </row>
    <row r="2" spans="1:18" x14ac:dyDescent="0.25">
      <c r="A2">
        <v>648</v>
      </c>
      <c r="B2" t="s">
        <v>93</v>
      </c>
      <c r="C2" t="s">
        <v>96</v>
      </c>
      <c r="D2" t="s">
        <v>93</v>
      </c>
      <c r="E2" t="s">
        <v>10</v>
      </c>
      <c r="F2" t="s">
        <v>11</v>
      </c>
      <c r="G2" t="s">
        <v>15</v>
      </c>
      <c r="H2" t="str">
        <f t="shared" ref="H2:H7" si="0">CONCATENATE(C2,"_",G2)</f>
        <v>CT_Class I</v>
      </c>
    </row>
    <row r="3" spans="1:18" x14ac:dyDescent="0.25">
      <c r="A3">
        <v>651</v>
      </c>
      <c r="B3" t="s">
        <v>94</v>
      </c>
      <c r="C3" t="s">
        <v>96</v>
      </c>
      <c r="D3" t="s">
        <v>94</v>
      </c>
      <c r="E3" t="s">
        <v>10</v>
      </c>
      <c r="F3" t="s">
        <v>11</v>
      </c>
      <c r="G3" t="s">
        <v>18</v>
      </c>
      <c r="H3" t="str">
        <f t="shared" si="0"/>
        <v>CT_Class II</v>
      </c>
    </row>
    <row r="4" spans="1:18" x14ac:dyDescent="0.25">
      <c r="A4">
        <v>654</v>
      </c>
      <c r="B4" t="s">
        <v>95</v>
      </c>
      <c r="C4" t="s">
        <v>96</v>
      </c>
      <c r="D4" t="s">
        <v>95</v>
      </c>
      <c r="E4" t="s">
        <v>10</v>
      </c>
      <c r="F4" t="s">
        <v>11</v>
      </c>
      <c r="G4" t="s">
        <v>127</v>
      </c>
      <c r="H4" t="str">
        <f t="shared" si="0"/>
        <v>CT_Class III</v>
      </c>
    </row>
    <row r="5" spans="1:18" x14ac:dyDescent="0.25">
      <c r="A5">
        <v>658</v>
      </c>
      <c r="B5" t="s">
        <v>97</v>
      </c>
      <c r="C5" t="s">
        <v>96</v>
      </c>
      <c r="D5" t="s">
        <v>97</v>
      </c>
      <c r="E5" t="s">
        <v>20</v>
      </c>
      <c r="F5" t="s">
        <v>21</v>
      </c>
      <c r="G5" t="s">
        <v>15</v>
      </c>
      <c r="H5" t="str">
        <f t="shared" si="0"/>
        <v>CT_Class I</v>
      </c>
    </row>
    <row r="6" spans="1:18" x14ac:dyDescent="0.25">
      <c r="A6">
        <v>661</v>
      </c>
      <c r="B6" t="s">
        <v>98</v>
      </c>
      <c r="C6" t="s">
        <v>96</v>
      </c>
      <c r="D6" t="s">
        <v>98</v>
      </c>
      <c r="E6" t="s">
        <v>20</v>
      </c>
      <c r="F6" t="s">
        <v>21</v>
      </c>
      <c r="G6" t="s">
        <v>18</v>
      </c>
      <c r="H6" t="str">
        <f t="shared" si="0"/>
        <v>CT_Class II</v>
      </c>
    </row>
    <row r="7" spans="1:18" x14ac:dyDescent="0.25">
      <c r="A7">
        <v>664</v>
      </c>
      <c r="B7" t="s">
        <v>99</v>
      </c>
      <c r="C7" t="s">
        <v>96</v>
      </c>
      <c r="D7" t="s">
        <v>99</v>
      </c>
      <c r="E7" t="s">
        <v>20</v>
      </c>
      <c r="F7" t="s">
        <v>21</v>
      </c>
      <c r="G7" t="s">
        <v>127</v>
      </c>
      <c r="H7" t="str">
        <f t="shared" si="0"/>
        <v>CT_Class III</v>
      </c>
    </row>
    <row r="8" spans="1:18" x14ac:dyDescent="0.25">
      <c r="A8">
        <v>2292</v>
      </c>
      <c r="B8" t="s">
        <v>100</v>
      </c>
      <c r="C8" t="s">
        <v>102</v>
      </c>
      <c r="D8" t="s">
        <v>100</v>
      </c>
      <c r="E8" t="s">
        <v>10</v>
      </c>
      <c r="F8" t="s">
        <v>11</v>
      </c>
      <c r="G8" t="s">
        <v>15</v>
      </c>
      <c r="H8" t="str">
        <f t="shared" ref="H8:H9" si="1">CONCATENATE(C8,"_",G8)</f>
        <v>RI_Class I</v>
      </c>
    </row>
    <row r="9" spans="1:18" x14ac:dyDescent="0.25">
      <c r="A9">
        <v>2294</v>
      </c>
      <c r="B9" t="s">
        <v>101</v>
      </c>
      <c r="C9" t="s">
        <v>102</v>
      </c>
      <c r="D9" t="s">
        <v>101</v>
      </c>
      <c r="E9" t="s">
        <v>10</v>
      </c>
      <c r="F9" t="s">
        <v>11</v>
      </c>
      <c r="G9" t="s">
        <v>18</v>
      </c>
      <c r="H9" t="str">
        <f t="shared" si="1"/>
        <v>RI_Class II</v>
      </c>
    </row>
    <row r="10" spans="1:18" x14ac:dyDescent="0.25">
      <c r="A10">
        <v>2298</v>
      </c>
      <c r="B10" t="s">
        <v>103</v>
      </c>
      <c r="C10" t="s">
        <v>102</v>
      </c>
      <c r="D10" t="s">
        <v>103</v>
      </c>
      <c r="E10" t="s">
        <v>20</v>
      </c>
      <c r="F10" t="s">
        <v>21</v>
      </c>
      <c r="G10" t="s">
        <v>15</v>
      </c>
      <c r="H10" t="str">
        <f>CONCATENATE(C10,"_",G10)</f>
        <v>RI_Class I</v>
      </c>
    </row>
    <row r="11" spans="1:18" x14ac:dyDescent="0.25">
      <c r="A11">
        <v>2300</v>
      </c>
      <c r="B11" t="s">
        <v>104</v>
      </c>
      <c r="C11" t="s">
        <v>102</v>
      </c>
      <c r="D11" t="s">
        <v>104</v>
      </c>
      <c r="E11" t="s">
        <v>20</v>
      </c>
      <c r="F11" t="s">
        <v>21</v>
      </c>
      <c r="G11" t="s">
        <v>18</v>
      </c>
      <c r="H11" t="str">
        <f>CONCATENATE(C11,"_",G11)</f>
        <v>RI_Class II</v>
      </c>
    </row>
    <row r="12" spans="1:18" x14ac:dyDescent="0.25">
      <c r="A12">
        <v>650</v>
      </c>
      <c r="B12" t="s">
        <v>112</v>
      </c>
      <c r="C12" t="s">
        <v>111</v>
      </c>
      <c r="D12" t="s">
        <v>112</v>
      </c>
      <c r="E12" t="s">
        <v>10</v>
      </c>
      <c r="F12" t="s">
        <v>11</v>
      </c>
      <c r="G12" t="s">
        <v>15</v>
      </c>
      <c r="H12" t="str">
        <f>CONCATENATE(C12,"_",G12)</f>
        <v>ME_Class I</v>
      </c>
    </row>
    <row r="13" spans="1:18" x14ac:dyDescent="0.25">
      <c r="A13">
        <v>653</v>
      </c>
      <c r="B13" t="s">
        <v>113</v>
      </c>
      <c r="C13" t="s">
        <v>111</v>
      </c>
      <c r="D13" t="s">
        <v>113</v>
      </c>
      <c r="E13" t="s">
        <v>10</v>
      </c>
      <c r="F13" t="s">
        <v>11</v>
      </c>
      <c r="G13" t="s">
        <v>18</v>
      </c>
      <c r="H13" t="str">
        <f t="shared" ref="H13:H24" si="2">CONCATENATE(C13,"_",G13)</f>
        <v>ME_Class II</v>
      </c>
    </row>
    <row r="14" spans="1:18" x14ac:dyDescent="0.25">
      <c r="A14">
        <v>656</v>
      </c>
      <c r="B14" t="s">
        <v>114</v>
      </c>
      <c r="C14" t="s">
        <v>111</v>
      </c>
      <c r="D14" t="s">
        <v>114</v>
      </c>
      <c r="E14" t="s">
        <v>10</v>
      </c>
      <c r="F14" t="s">
        <v>11</v>
      </c>
      <c r="G14" t="s">
        <v>109</v>
      </c>
      <c r="H14" t="str">
        <f t="shared" si="2"/>
        <v>ME_Class IA</v>
      </c>
    </row>
    <row r="15" spans="1:18" x14ac:dyDescent="0.25">
      <c r="A15">
        <v>1162</v>
      </c>
      <c r="B15" t="s">
        <v>115</v>
      </c>
      <c r="C15" t="s">
        <v>111</v>
      </c>
      <c r="D15" t="s">
        <v>115</v>
      </c>
      <c r="E15" t="s">
        <v>10</v>
      </c>
      <c r="F15" t="s">
        <v>11</v>
      </c>
      <c r="G15" t="s">
        <v>110</v>
      </c>
      <c r="H15" t="str">
        <f t="shared" si="2"/>
        <v>ME_Thermal</v>
      </c>
      <c r="Q15" s="1"/>
      <c r="R15" s="1"/>
    </row>
    <row r="16" spans="1:18" x14ac:dyDescent="0.25">
      <c r="A16">
        <v>660</v>
      </c>
      <c r="B16" t="s">
        <v>105</v>
      </c>
      <c r="C16" t="s">
        <v>111</v>
      </c>
      <c r="D16" t="s">
        <v>105</v>
      </c>
      <c r="E16" t="s">
        <v>20</v>
      </c>
      <c r="F16" t="s">
        <v>21</v>
      </c>
      <c r="G16" t="s">
        <v>15</v>
      </c>
      <c r="H16" t="str">
        <f>CONCATENATE(C16,"_",G16)</f>
        <v>ME_Class I</v>
      </c>
      <c r="Q16" s="2"/>
      <c r="R16" s="2"/>
    </row>
    <row r="17" spans="1:8" x14ac:dyDescent="0.25">
      <c r="A17">
        <v>663</v>
      </c>
      <c r="B17" t="s">
        <v>106</v>
      </c>
      <c r="C17" t="s">
        <v>111</v>
      </c>
      <c r="D17" t="s">
        <v>106</v>
      </c>
      <c r="E17" t="s">
        <v>20</v>
      </c>
      <c r="F17" t="s">
        <v>21</v>
      </c>
      <c r="G17" t="s">
        <v>18</v>
      </c>
      <c r="H17" t="str">
        <f t="shared" si="2"/>
        <v>ME_Class II</v>
      </c>
    </row>
    <row r="18" spans="1:8" x14ac:dyDescent="0.25">
      <c r="A18">
        <v>666</v>
      </c>
      <c r="B18" t="s">
        <v>107</v>
      </c>
      <c r="C18" t="s">
        <v>111</v>
      </c>
      <c r="D18" t="s">
        <v>107</v>
      </c>
      <c r="E18" t="s">
        <v>20</v>
      </c>
      <c r="F18" t="s">
        <v>21</v>
      </c>
      <c r="G18" t="s">
        <v>109</v>
      </c>
      <c r="H18" t="str">
        <f t="shared" si="2"/>
        <v>ME_Class IA</v>
      </c>
    </row>
    <row r="19" spans="1:8" x14ac:dyDescent="0.25">
      <c r="A19">
        <v>1168</v>
      </c>
      <c r="B19" t="s">
        <v>108</v>
      </c>
      <c r="C19" t="s">
        <v>111</v>
      </c>
      <c r="D19" t="s">
        <v>108</v>
      </c>
      <c r="E19" t="s">
        <v>20</v>
      </c>
      <c r="F19" t="s">
        <v>21</v>
      </c>
      <c r="G19" t="s">
        <v>110</v>
      </c>
      <c r="H19" t="str">
        <f t="shared" si="2"/>
        <v>ME_Thermal</v>
      </c>
    </row>
    <row r="20" spans="1:8" x14ac:dyDescent="0.25">
      <c r="A20">
        <v>2291</v>
      </c>
      <c r="B20" t="s">
        <v>121</v>
      </c>
      <c r="C20" t="s">
        <v>125</v>
      </c>
      <c r="D20" t="s">
        <v>121</v>
      </c>
      <c r="E20" t="s">
        <v>10</v>
      </c>
      <c r="F20" t="s">
        <v>11</v>
      </c>
      <c r="G20" t="s">
        <v>15</v>
      </c>
      <c r="H20" t="str">
        <f t="shared" si="2"/>
        <v>NH_Class I</v>
      </c>
    </row>
    <row r="21" spans="1:8" x14ac:dyDescent="0.25">
      <c r="A21">
        <v>2293</v>
      </c>
      <c r="B21" t="s">
        <v>122</v>
      </c>
      <c r="C21" t="s">
        <v>125</v>
      </c>
      <c r="D21" t="s">
        <v>122</v>
      </c>
      <c r="E21" t="s">
        <v>10</v>
      </c>
      <c r="F21" t="s">
        <v>11</v>
      </c>
      <c r="G21" t="s">
        <v>18</v>
      </c>
      <c r="H21" t="str">
        <f t="shared" si="2"/>
        <v>NH_Class II</v>
      </c>
    </row>
    <row r="22" spans="1:8" x14ac:dyDescent="0.25">
      <c r="A22">
        <v>2295</v>
      </c>
      <c r="B22" t="s">
        <v>123</v>
      </c>
      <c r="C22" t="s">
        <v>125</v>
      </c>
      <c r="D22" t="s">
        <v>123</v>
      </c>
      <c r="E22" t="s">
        <v>10</v>
      </c>
      <c r="F22" t="s">
        <v>11</v>
      </c>
      <c r="G22" t="s">
        <v>127</v>
      </c>
      <c r="H22" t="str">
        <f t="shared" si="2"/>
        <v>NH_Class III</v>
      </c>
    </row>
    <row r="23" spans="1:8" x14ac:dyDescent="0.25">
      <c r="A23">
        <v>2303</v>
      </c>
      <c r="B23" t="s">
        <v>124</v>
      </c>
      <c r="C23" t="s">
        <v>125</v>
      </c>
      <c r="D23" t="s">
        <v>124</v>
      </c>
      <c r="E23" t="s">
        <v>10</v>
      </c>
      <c r="F23" t="s">
        <v>11</v>
      </c>
      <c r="G23" t="s">
        <v>128</v>
      </c>
      <c r="H23" t="str">
        <f t="shared" si="2"/>
        <v>NH_Class IV</v>
      </c>
    </row>
    <row r="24" spans="1:8" x14ac:dyDescent="0.25">
      <c r="A24">
        <v>2305</v>
      </c>
      <c r="B24" t="s">
        <v>129</v>
      </c>
      <c r="C24" t="s">
        <v>125</v>
      </c>
      <c r="D24" t="s">
        <v>129</v>
      </c>
      <c r="E24" t="s">
        <v>10</v>
      </c>
      <c r="F24" t="s">
        <v>11</v>
      </c>
      <c r="G24" t="s">
        <v>126</v>
      </c>
      <c r="H24" t="str">
        <f t="shared" si="2"/>
        <v>NH_Class I Thermal</v>
      </c>
    </row>
    <row r="25" spans="1:8" x14ac:dyDescent="0.25">
      <c r="A25">
        <v>2297</v>
      </c>
      <c r="B25" t="s">
        <v>116</v>
      </c>
      <c r="C25" t="s">
        <v>125</v>
      </c>
      <c r="D25" t="s">
        <v>116</v>
      </c>
      <c r="E25" t="s">
        <v>20</v>
      </c>
      <c r="F25" t="s">
        <v>21</v>
      </c>
      <c r="G25" t="s">
        <v>15</v>
      </c>
      <c r="H25" t="str">
        <f t="shared" ref="H25:H35" si="3">CONCATENATE(C25,"_",G25)</f>
        <v>NH_Class I</v>
      </c>
    </row>
    <row r="26" spans="1:8" x14ac:dyDescent="0.25">
      <c r="A26">
        <v>2299</v>
      </c>
      <c r="B26" t="s">
        <v>118</v>
      </c>
      <c r="C26" t="s">
        <v>125</v>
      </c>
      <c r="D26" t="s">
        <v>118</v>
      </c>
      <c r="E26" t="s">
        <v>20</v>
      </c>
      <c r="F26" t="s">
        <v>21</v>
      </c>
      <c r="G26" t="s">
        <v>18</v>
      </c>
      <c r="H26" t="str">
        <f t="shared" si="3"/>
        <v>NH_Class II</v>
      </c>
    </row>
    <row r="27" spans="1:8" x14ac:dyDescent="0.25">
      <c r="A27">
        <v>2301</v>
      </c>
      <c r="B27" t="s">
        <v>119</v>
      </c>
      <c r="C27" t="s">
        <v>125</v>
      </c>
      <c r="D27" t="s">
        <v>119</v>
      </c>
      <c r="E27" t="s">
        <v>20</v>
      </c>
      <c r="F27" t="s">
        <v>21</v>
      </c>
      <c r="G27" t="s">
        <v>127</v>
      </c>
      <c r="H27" t="str">
        <f t="shared" si="3"/>
        <v>NH_Class III</v>
      </c>
    </row>
    <row r="28" spans="1:8" x14ac:dyDescent="0.25">
      <c r="A28">
        <v>2307</v>
      </c>
      <c r="B28" t="s">
        <v>120</v>
      </c>
      <c r="C28" t="s">
        <v>125</v>
      </c>
      <c r="D28" t="s">
        <v>120</v>
      </c>
      <c r="E28" t="s">
        <v>20</v>
      </c>
      <c r="F28" t="s">
        <v>21</v>
      </c>
      <c r="G28" t="s">
        <v>128</v>
      </c>
      <c r="H28" t="str">
        <f t="shared" si="3"/>
        <v>NH_Class IV</v>
      </c>
    </row>
    <row r="29" spans="1:8" x14ac:dyDescent="0.25">
      <c r="A29">
        <v>2309</v>
      </c>
      <c r="B29" t="s">
        <v>117</v>
      </c>
      <c r="C29" t="s">
        <v>125</v>
      </c>
      <c r="D29" t="s">
        <v>117</v>
      </c>
      <c r="E29" t="s">
        <v>20</v>
      </c>
      <c r="F29" t="s">
        <v>21</v>
      </c>
      <c r="G29" t="s">
        <v>126</v>
      </c>
      <c r="H29" t="str">
        <f t="shared" si="3"/>
        <v>NH_Class I Thermal</v>
      </c>
    </row>
    <row r="30" spans="1:8" x14ac:dyDescent="0.25">
      <c r="A30">
        <v>649</v>
      </c>
      <c r="B30" t="s">
        <v>130</v>
      </c>
      <c r="C30" t="s">
        <v>142</v>
      </c>
      <c r="D30" t="s">
        <v>130</v>
      </c>
      <c r="E30" t="s">
        <v>10</v>
      </c>
      <c r="F30" t="s">
        <v>11</v>
      </c>
      <c r="G30" t="s">
        <v>15</v>
      </c>
      <c r="H30" t="str">
        <f t="shared" si="3"/>
        <v>MA_Class I</v>
      </c>
    </row>
    <row r="31" spans="1:8" x14ac:dyDescent="0.25">
      <c r="A31">
        <v>652</v>
      </c>
      <c r="B31" t="s">
        <v>131</v>
      </c>
      <c r="C31" t="s">
        <v>142</v>
      </c>
      <c r="D31" t="s">
        <v>131</v>
      </c>
      <c r="E31" t="s">
        <v>10</v>
      </c>
      <c r="F31" t="s">
        <v>11</v>
      </c>
      <c r="G31" t="s">
        <v>143</v>
      </c>
      <c r="H31" t="str">
        <f t="shared" si="3"/>
        <v>MA_Class II WTE</v>
      </c>
    </row>
    <row r="32" spans="1:8" x14ac:dyDescent="0.25">
      <c r="A32">
        <v>655</v>
      </c>
      <c r="B32" t="s">
        <v>132</v>
      </c>
      <c r="C32" t="s">
        <v>142</v>
      </c>
      <c r="D32" t="s">
        <v>132</v>
      </c>
      <c r="E32" t="s">
        <v>10</v>
      </c>
      <c r="F32" t="s">
        <v>11</v>
      </c>
      <c r="G32" t="s">
        <v>18</v>
      </c>
      <c r="H32" t="str">
        <f t="shared" si="3"/>
        <v>MA_Class II</v>
      </c>
    </row>
    <row r="33" spans="1:8" x14ac:dyDescent="0.25">
      <c r="A33">
        <v>1161</v>
      </c>
      <c r="B33" t="s">
        <v>136</v>
      </c>
      <c r="C33" t="s">
        <v>142</v>
      </c>
      <c r="D33" t="s">
        <v>136</v>
      </c>
      <c r="E33" t="s">
        <v>10</v>
      </c>
      <c r="F33" t="s">
        <v>11</v>
      </c>
      <c r="G33" t="s">
        <v>144</v>
      </c>
      <c r="H33" t="str">
        <f t="shared" si="3"/>
        <v>MA_APS</v>
      </c>
    </row>
    <row r="34" spans="1:8" x14ac:dyDescent="0.25">
      <c r="A34">
        <v>1164</v>
      </c>
      <c r="B34" t="s">
        <v>137</v>
      </c>
      <c r="C34" t="s">
        <v>142</v>
      </c>
      <c r="D34" t="s">
        <v>137</v>
      </c>
      <c r="E34" t="s">
        <v>10</v>
      </c>
      <c r="F34" t="s">
        <v>11</v>
      </c>
      <c r="G34" t="s">
        <v>145</v>
      </c>
      <c r="H34" t="str">
        <f t="shared" si="3"/>
        <v>MA_SREC I</v>
      </c>
    </row>
    <row r="35" spans="1:8" x14ac:dyDescent="0.25">
      <c r="A35">
        <v>2726</v>
      </c>
      <c r="B35" t="s">
        <v>141</v>
      </c>
      <c r="C35" t="s">
        <v>142</v>
      </c>
      <c r="D35" t="s">
        <v>141</v>
      </c>
      <c r="E35" t="s">
        <v>10</v>
      </c>
      <c r="F35" t="s">
        <v>11</v>
      </c>
      <c r="G35" t="s">
        <v>146</v>
      </c>
      <c r="H35" t="str">
        <f t="shared" si="3"/>
        <v>MA_SREC II</v>
      </c>
    </row>
    <row r="36" spans="1:8" x14ac:dyDescent="0.25">
      <c r="A36">
        <v>659</v>
      </c>
      <c r="B36" t="s">
        <v>133</v>
      </c>
      <c r="C36" t="s">
        <v>142</v>
      </c>
      <c r="D36" t="s">
        <v>133</v>
      </c>
      <c r="E36" t="s">
        <v>20</v>
      </c>
      <c r="F36" t="s">
        <v>21</v>
      </c>
      <c r="G36" t="s">
        <v>15</v>
      </c>
      <c r="H36" t="str">
        <f t="shared" ref="H36:H41" si="4">CONCATENATE(C36,"_",G36)</f>
        <v>MA_Class I</v>
      </c>
    </row>
    <row r="37" spans="1:8" x14ac:dyDescent="0.25">
      <c r="A37">
        <v>662</v>
      </c>
      <c r="B37" t="s">
        <v>134</v>
      </c>
      <c r="C37" t="s">
        <v>142</v>
      </c>
      <c r="D37" t="s">
        <v>134</v>
      </c>
      <c r="E37" t="s">
        <v>20</v>
      </c>
      <c r="F37" t="s">
        <v>21</v>
      </c>
      <c r="G37" t="s">
        <v>143</v>
      </c>
      <c r="H37" t="str">
        <f t="shared" si="4"/>
        <v>MA_Class II WTE</v>
      </c>
    </row>
    <row r="38" spans="1:8" x14ac:dyDescent="0.25">
      <c r="A38">
        <v>665</v>
      </c>
      <c r="B38" t="s">
        <v>135</v>
      </c>
      <c r="C38" t="s">
        <v>142</v>
      </c>
      <c r="D38" t="s">
        <v>135</v>
      </c>
      <c r="E38" t="s">
        <v>20</v>
      </c>
      <c r="F38" t="s">
        <v>21</v>
      </c>
      <c r="G38" t="s">
        <v>18</v>
      </c>
      <c r="H38" t="str">
        <f t="shared" si="4"/>
        <v>MA_Class II</v>
      </c>
    </row>
    <row r="39" spans="1:8" x14ac:dyDescent="0.25">
      <c r="A39">
        <v>1167</v>
      </c>
      <c r="B39" t="s">
        <v>138</v>
      </c>
      <c r="C39" t="s">
        <v>142</v>
      </c>
      <c r="D39" t="s">
        <v>138</v>
      </c>
      <c r="E39" t="s">
        <v>20</v>
      </c>
      <c r="F39" t="s">
        <v>21</v>
      </c>
      <c r="G39" t="s">
        <v>144</v>
      </c>
      <c r="H39" t="str">
        <f t="shared" si="4"/>
        <v>MA_APS</v>
      </c>
    </row>
    <row r="40" spans="1:8" x14ac:dyDescent="0.25">
      <c r="A40">
        <v>1170</v>
      </c>
      <c r="B40" t="s">
        <v>139</v>
      </c>
      <c r="C40" t="s">
        <v>142</v>
      </c>
      <c r="D40" t="s">
        <v>139</v>
      </c>
      <c r="E40" t="s">
        <v>20</v>
      </c>
      <c r="F40" t="s">
        <v>21</v>
      </c>
      <c r="G40" t="s">
        <v>145</v>
      </c>
      <c r="H40" t="str">
        <f t="shared" si="4"/>
        <v>MA_SREC I</v>
      </c>
    </row>
    <row r="41" spans="1:8" x14ac:dyDescent="0.25">
      <c r="A41">
        <v>2701</v>
      </c>
      <c r="B41" t="s">
        <v>140</v>
      </c>
      <c r="C41" t="s">
        <v>142</v>
      </c>
      <c r="D41" t="s">
        <v>140</v>
      </c>
      <c r="E41" t="s">
        <v>20</v>
      </c>
      <c r="F41" t="s">
        <v>21</v>
      </c>
      <c r="G41" t="s">
        <v>146</v>
      </c>
      <c r="H41" t="str">
        <f t="shared" si="4"/>
        <v>MA_SREC II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16A2-A820-45D7-A141-6F82D147551A}">
  <dimension ref="A1:B28"/>
  <sheetViews>
    <sheetView workbookViewId="0">
      <selection activeCell="H30" sqref="H30"/>
    </sheetView>
  </sheetViews>
  <sheetFormatPr defaultRowHeight="15" x14ac:dyDescent="0.25"/>
  <cols>
    <col min="1" max="1" width="20.140625" bestFit="1" customWidth="1"/>
    <col min="2" max="2" width="15.7109375" bestFit="1" customWidth="1"/>
  </cols>
  <sheetData>
    <row r="1" spans="1:2" x14ac:dyDescent="0.25">
      <c r="A1" t="s">
        <v>83</v>
      </c>
      <c r="B1" t="s">
        <v>82</v>
      </c>
    </row>
    <row r="2" spans="1:2" x14ac:dyDescent="0.25">
      <c r="A2" t="s">
        <v>55</v>
      </c>
      <c r="B2" t="s">
        <v>55</v>
      </c>
    </row>
    <row r="3" spans="1:2" x14ac:dyDescent="0.25">
      <c r="A3" t="s">
        <v>56</v>
      </c>
      <c r="B3" t="s">
        <v>56</v>
      </c>
    </row>
    <row r="4" spans="1:2" x14ac:dyDescent="0.25">
      <c r="A4" t="s">
        <v>57</v>
      </c>
      <c r="B4" t="s">
        <v>55</v>
      </c>
    </row>
    <row r="5" spans="1:2" x14ac:dyDescent="0.25">
      <c r="A5" t="s">
        <v>58</v>
      </c>
      <c r="B5" t="s">
        <v>56</v>
      </c>
    </row>
    <row r="6" spans="1:2" x14ac:dyDescent="0.25">
      <c r="A6" t="s">
        <v>59</v>
      </c>
      <c r="B6" t="s">
        <v>74</v>
      </c>
    </row>
    <row r="7" spans="1:2" x14ac:dyDescent="0.25">
      <c r="A7" t="s">
        <v>60</v>
      </c>
      <c r="B7" t="s">
        <v>75</v>
      </c>
    </row>
    <row r="8" spans="1:2" x14ac:dyDescent="0.25">
      <c r="A8" t="s">
        <v>61</v>
      </c>
      <c r="B8" t="s">
        <v>76</v>
      </c>
    </row>
    <row r="9" spans="1:2" x14ac:dyDescent="0.25">
      <c r="A9" t="s">
        <v>62</v>
      </c>
      <c r="B9" t="s">
        <v>77</v>
      </c>
    </row>
    <row r="10" spans="1:2" x14ac:dyDescent="0.25">
      <c r="A10" t="s">
        <v>63</v>
      </c>
      <c r="B10" t="s">
        <v>74</v>
      </c>
    </row>
    <row r="11" spans="1:2" x14ac:dyDescent="0.25">
      <c r="A11" t="s">
        <v>64</v>
      </c>
      <c r="B11" t="s">
        <v>75</v>
      </c>
    </row>
    <row r="12" spans="1:2" x14ac:dyDescent="0.25">
      <c r="A12" t="s">
        <v>65</v>
      </c>
      <c r="B12" t="s">
        <v>76</v>
      </c>
    </row>
    <row r="13" spans="1:2" x14ac:dyDescent="0.25">
      <c r="A13" t="s">
        <v>66</v>
      </c>
      <c r="B13" t="s">
        <v>77</v>
      </c>
    </row>
    <row r="14" spans="1:2" x14ac:dyDescent="0.25">
      <c r="A14" t="s">
        <v>67</v>
      </c>
      <c r="B14" t="s">
        <v>67</v>
      </c>
    </row>
    <row r="15" spans="1:2" x14ac:dyDescent="0.25">
      <c r="A15" t="s">
        <v>68</v>
      </c>
      <c r="B15" t="s">
        <v>68</v>
      </c>
    </row>
    <row r="16" spans="1:2" x14ac:dyDescent="0.25">
      <c r="A16" t="s">
        <v>69</v>
      </c>
      <c r="B16" t="s">
        <v>69</v>
      </c>
    </row>
    <row r="17" spans="1:2" x14ac:dyDescent="0.25">
      <c r="A17" t="s">
        <v>70</v>
      </c>
      <c r="B17" t="s">
        <v>70</v>
      </c>
    </row>
    <row r="18" spans="1:2" x14ac:dyDescent="0.25">
      <c r="A18" t="s">
        <v>71</v>
      </c>
      <c r="B18" t="s">
        <v>71</v>
      </c>
    </row>
    <row r="19" spans="1:2" x14ac:dyDescent="0.25">
      <c r="A19" t="s">
        <v>72</v>
      </c>
      <c r="B19" t="s">
        <v>72</v>
      </c>
    </row>
    <row r="20" spans="1:2" x14ac:dyDescent="0.25">
      <c r="A20" t="s">
        <v>73</v>
      </c>
      <c r="B20" t="s">
        <v>73</v>
      </c>
    </row>
    <row r="21" spans="1:2" x14ac:dyDescent="0.25">
      <c r="A21" t="s">
        <v>74</v>
      </c>
      <c r="B21" t="s">
        <v>74</v>
      </c>
    </row>
    <row r="22" spans="1:2" x14ac:dyDescent="0.25">
      <c r="A22" t="s">
        <v>75</v>
      </c>
      <c r="B22" t="s">
        <v>75</v>
      </c>
    </row>
    <row r="23" spans="1:2" x14ac:dyDescent="0.25">
      <c r="A23" t="s">
        <v>76</v>
      </c>
      <c r="B23" t="s">
        <v>76</v>
      </c>
    </row>
    <row r="24" spans="1:2" x14ac:dyDescent="0.25">
      <c r="A24" t="s">
        <v>77</v>
      </c>
      <c r="B24" t="s">
        <v>77</v>
      </c>
    </row>
    <row r="25" spans="1:2" x14ac:dyDescent="0.25">
      <c r="A25" t="s">
        <v>78</v>
      </c>
      <c r="B25" t="s">
        <v>74</v>
      </c>
    </row>
    <row r="26" spans="1:2" x14ac:dyDescent="0.25">
      <c r="A26" t="s">
        <v>79</v>
      </c>
      <c r="B26" t="s">
        <v>75</v>
      </c>
    </row>
    <row r="27" spans="1:2" x14ac:dyDescent="0.25">
      <c r="A27" t="s">
        <v>80</v>
      </c>
      <c r="B27" t="s">
        <v>76</v>
      </c>
    </row>
    <row r="28" spans="1:2" x14ac:dyDescent="0.25">
      <c r="A28" t="s">
        <v>81</v>
      </c>
      <c r="B28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A2E0-5D24-4C2A-97F0-04749C87AB91}">
  <dimension ref="A1:F55"/>
  <sheetViews>
    <sheetView workbookViewId="0">
      <selection activeCell="L31" sqref="L31"/>
    </sheetView>
  </sheetViews>
  <sheetFormatPr defaultRowHeight="15" x14ac:dyDescent="0.25"/>
  <sheetData>
    <row r="1" spans="1:6" x14ac:dyDescent="0.25">
      <c r="A1" t="s">
        <v>172</v>
      </c>
      <c r="B1" t="s">
        <v>6</v>
      </c>
      <c r="C1" t="s">
        <v>173</v>
      </c>
      <c r="D1" t="s">
        <v>179</v>
      </c>
      <c r="E1" t="s">
        <v>177</v>
      </c>
      <c r="F1" t="s">
        <v>11</v>
      </c>
    </row>
    <row r="2" spans="1:6" x14ac:dyDescent="0.25">
      <c r="A2" t="s">
        <v>142</v>
      </c>
      <c r="B2" t="s">
        <v>11</v>
      </c>
      <c r="C2" t="s">
        <v>174</v>
      </c>
      <c r="D2" t="s">
        <v>178</v>
      </c>
      <c r="E2">
        <v>2023</v>
      </c>
      <c r="F2" s="3">
        <v>0.06</v>
      </c>
    </row>
    <row r="3" spans="1:6" x14ac:dyDescent="0.25">
      <c r="A3" t="s">
        <v>142</v>
      </c>
      <c r="B3" t="s">
        <v>11</v>
      </c>
      <c r="C3" t="s">
        <v>174</v>
      </c>
      <c r="D3" t="s">
        <v>178</v>
      </c>
      <c r="E3">
        <v>2024</v>
      </c>
      <c r="F3" s="3">
        <v>0.04</v>
      </c>
    </row>
    <row r="4" spans="1:6" x14ac:dyDescent="0.25">
      <c r="A4" t="s">
        <v>142</v>
      </c>
      <c r="B4" t="s">
        <v>11</v>
      </c>
      <c r="C4" t="s">
        <v>174</v>
      </c>
      <c r="D4" t="s">
        <v>178</v>
      </c>
      <c r="E4">
        <v>2025</v>
      </c>
      <c r="F4" s="3">
        <v>5.5E-2</v>
      </c>
    </row>
    <row r="5" spans="1:6" x14ac:dyDescent="0.25">
      <c r="A5" t="s">
        <v>142</v>
      </c>
      <c r="B5" t="s">
        <v>11</v>
      </c>
      <c r="C5" t="s">
        <v>174</v>
      </c>
      <c r="D5" t="s">
        <v>178</v>
      </c>
      <c r="E5">
        <v>2026</v>
      </c>
      <c r="F5" s="3">
        <v>7.0000000000000007E-2</v>
      </c>
    </row>
    <row r="6" spans="1:6" x14ac:dyDescent="0.25">
      <c r="A6" t="s">
        <v>142</v>
      </c>
      <c r="B6" t="s">
        <v>11</v>
      </c>
      <c r="C6" t="s">
        <v>174</v>
      </c>
      <c r="D6" t="s">
        <v>178</v>
      </c>
      <c r="E6">
        <v>2027</v>
      </c>
      <c r="F6" s="3">
        <v>0.09</v>
      </c>
    </row>
    <row r="7" spans="1:6" x14ac:dyDescent="0.25">
      <c r="A7" t="s">
        <v>142</v>
      </c>
      <c r="B7" t="s">
        <v>11</v>
      </c>
      <c r="C7" t="s">
        <v>174</v>
      </c>
      <c r="D7" t="s">
        <v>178</v>
      </c>
      <c r="E7">
        <v>2028</v>
      </c>
      <c r="F7" s="3">
        <v>0.13</v>
      </c>
    </row>
    <row r="8" spans="1:6" x14ac:dyDescent="0.25">
      <c r="A8" t="s">
        <v>142</v>
      </c>
      <c r="B8" t="s">
        <v>11</v>
      </c>
      <c r="C8" t="s">
        <v>174</v>
      </c>
      <c r="D8" t="s">
        <v>178</v>
      </c>
      <c r="E8">
        <v>2029</v>
      </c>
      <c r="F8" s="3">
        <v>0.19</v>
      </c>
    </row>
    <row r="9" spans="1:6" x14ac:dyDescent="0.25">
      <c r="A9" t="s">
        <v>142</v>
      </c>
      <c r="B9" t="s">
        <v>11</v>
      </c>
      <c r="C9" t="s">
        <v>174</v>
      </c>
      <c r="D9" t="s">
        <v>178</v>
      </c>
      <c r="E9">
        <v>2030</v>
      </c>
      <c r="F9" s="3">
        <v>0.25</v>
      </c>
    </row>
    <row r="10" spans="1:6" x14ac:dyDescent="0.25">
      <c r="A10" t="s">
        <v>142</v>
      </c>
      <c r="B10" t="s">
        <v>11</v>
      </c>
      <c r="C10" t="s">
        <v>174</v>
      </c>
      <c r="D10" t="s">
        <v>178</v>
      </c>
      <c r="E10">
        <v>2031</v>
      </c>
      <c r="F10" s="3">
        <v>0.28999999999999998</v>
      </c>
    </row>
    <row r="11" spans="1:6" x14ac:dyDescent="0.25">
      <c r="A11" t="s">
        <v>142</v>
      </c>
      <c r="B11" t="s">
        <v>11</v>
      </c>
      <c r="C11" t="s">
        <v>174</v>
      </c>
      <c r="D11" t="s">
        <v>178</v>
      </c>
      <c r="E11">
        <v>2032</v>
      </c>
      <c r="F11" s="3">
        <v>0.31</v>
      </c>
    </row>
    <row r="12" spans="1:6" x14ac:dyDescent="0.25">
      <c r="A12" t="s">
        <v>142</v>
      </c>
      <c r="B12" t="s">
        <v>11</v>
      </c>
      <c r="C12" t="s">
        <v>174</v>
      </c>
      <c r="D12" t="s">
        <v>178</v>
      </c>
      <c r="E12">
        <v>2033</v>
      </c>
      <c r="F12" s="3">
        <v>0.32500000000000001</v>
      </c>
    </row>
    <row r="13" spans="1:6" x14ac:dyDescent="0.25">
      <c r="A13" t="s">
        <v>142</v>
      </c>
      <c r="B13" t="s">
        <v>11</v>
      </c>
      <c r="C13" t="s">
        <v>174</v>
      </c>
      <c r="D13" t="s">
        <v>178</v>
      </c>
      <c r="E13">
        <v>2034</v>
      </c>
      <c r="F13" s="3">
        <v>0.34</v>
      </c>
    </row>
    <row r="14" spans="1:6" x14ac:dyDescent="0.25">
      <c r="A14" t="s">
        <v>142</v>
      </c>
      <c r="B14" t="s">
        <v>11</v>
      </c>
      <c r="C14" t="s">
        <v>174</v>
      </c>
      <c r="D14" t="s">
        <v>178</v>
      </c>
      <c r="E14">
        <v>2035</v>
      </c>
      <c r="F14" s="3">
        <v>0.35500000000000004</v>
      </c>
    </row>
    <row r="15" spans="1:6" x14ac:dyDescent="0.25">
      <c r="A15" t="s">
        <v>142</v>
      </c>
      <c r="B15" t="s">
        <v>11</v>
      </c>
      <c r="C15" t="s">
        <v>174</v>
      </c>
      <c r="D15" t="s">
        <v>178</v>
      </c>
      <c r="E15">
        <v>2036</v>
      </c>
      <c r="F15" s="3">
        <v>0.37000000000000005</v>
      </c>
    </row>
    <row r="16" spans="1:6" x14ac:dyDescent="0.25">
      <c r="A16" t="s">
        <v>142</v>
      </c>
      <c r="B16" t="s">
        <v>11</v>
      </c>
      <c r="C16" t="s">
        <v>174</v>
      </c>
      <c r="D16" t="s">
        <v>178</v>
      </c>
      <c r="E16">
        <v>2037</v>
      </c>
      <c r="F16" s="3">
        <v>0.38500000000000006</v>
      </c>
    </row>
    <row r="17" spans="1:6" x14ac:dyDescent="0.25">
      <c r="A17" t="s">
        <v>142</v>
      </c>
      <c r="B17" t="s">
        <v>11</v>
      </c>
      <c r="C17" t="s">
        <v>174</v>
      </c>
      <c r="D17" t="s">
        <v>178</v>
      </c>
      <c r="E17">
        <v>2038</v>
      </c>
      <c r="F17" s="3">
        <v>0.40000000000000008</v>
      </c>
    </row>
    <row r="18" spans="1:6" x14ac:dyDescent="0.25">
      <c r="A18" t="s">
        <v>142</v>
      </c>
      <c r="B18" t="s">
        <v>11</v>
      </c>
      <c r="C18" t="s">
        <v>174</v>
      </c>
      <c r="D18" t="s">
        <v>178</v>
      </c>
      <c r="E18">
        <v>2039</v>
      </c>
      <c r="F18" s="3">
        <v>0.41500000000000009</v>
      </c>
    </row>
    <row r="19" spans="1:6" x14ac:dyDescent="0.25">
      <c r="A19" t="s">
        <v>142</v>
      </c>
      <c r="B19" t="s">
        <v>11</v>
      </c>
      <c r="C19" t="s">
        <v>174</v>
      </c>
      <c r="D19" t="s">
        <v>178</v>
      </c>
      <c r="E19">
        <v>2040</v>
      </c>
      <c r="F19" s="3">
        <v>0.4300000000000001</v>
      </c>
    </row>
    <row r="20" spans="1:6" x14ac:dyDescent="0.25">
      <c r="A20" t="s">
        <v>142</v>
      </c>
      <c r="B20" t="s">
        <v>11</v>
      </c>
      <c r="C20" t="s">
        <v>175</v>
      </c>
      <c r="D20" t="s">
        <v>178</v>
      </c>
      <c r="E20">
        <v>2023</v>
      </c>
      <c r="F20" s="3">
        <v>3.9999999999999952E-2</v>
      </c>
    </row>
    <row r="21" spans="1:6" x14ac:dyDescent="0.25">
      <c r="A21" t="s">
        <v>142</v>
      </c>
      <c r="B21" t="s">
        <v>11</v>
      </c>
      <c r="C21" t="s">
        <v>175</v>
      </c>
      <c r="D21" t="s">
        <v>178</v>
      </c>
      <c r="E21">
        <v>2024</v>
      </c>
      <c r="F21" s="3">
        <v>3.999999999999998E-2</v>
      </c>
    </row>
    <row r="22" spans="1:6" x14ac:dyDescent="0.25">
      <c r="A22" t="s">
        <v>142</v>
      </c>
      <c r="B22" t="s">
        <v>11</v>
      </c>
      <c r="C22" t="s">
        <v>175</v>
      </c>
      <c r="D22" t="s">
        <v>178</v>
      </c>
      <c r="E22">
        <v>2025</v>
      </c>
      <c r="F22" s="3">
        <v>2.9999999999999971E-2</v>
      </c>
    </row>
    <row r="23" spans="1:6" x14ac:dyDescent="0.25">
      <c r="A23" t="s">
        <v>142</v>
      </c>
      <c r="B23" t="s">
        <v>11</v>
      </c>
      <c r="C23" t="s">
        <v>175</v>
      </c>
      <c r="D23" t="s">
        <v>178</v>
      </c>
      <c r="E23">
        <v>2026</v>
      </c>
      <c r="F23" s="3">
        <v>0.06</v>
      </c>
    </row>
    <row r="24" spans="1:6" x14ac:dyDescent="0.25">
      <c r="A24" t="s">
        <v>142</v>
      </c>
      <c r="B24" t="s">
        <v>11</v>
      </c>
      <c r="C24" t="s">
        <v>175</v>
      </c>
      <c r="D24" t="s">
        <v>178</v>
      </c>
      <c r="E24">
        <v>2027</v>
      </c>
      <c r="F24" s="3">
        <v>8.9999999999999969E-2</v>
      </c>
    </row>
    <row r="25" spans="1:6" x14ac:dyDescent="0.25">
      <c r="A25" t="s">
        <v>142</v>
      </c>
      <c r="B25" t="s">
        <v>11</v>
      </c>
      <c r="C25" t="s">
        <v>175</v>
      </c>
      <c r="D25" t="s">
        <v>178</v>
      </c>
      <c r="E25">
        <v>2028</v>
      </c>
      <c r="F25" s="3">
        <v>0.12</v>
      </c>
    </row>
    <row r="26" spans="1:6" x14ac:dyDescent="0.25">
      <c r="A26" t="s">
        <v>142</v>
      </c>
      <c r="B26" t="s">
        <v>11</v>
      </c>
      <c r="C26" t="s">
        <v>175</v>
      </c>
      <c r="D26" t="s">
        <v>178</v>
      </c>
      <c r="E26">
        <v>2029</v>
      </c>
      <c r="F26" s="3">
        <v>0.15000000000000002</v>
      </c>
    </row>
    <row r="27" spans="1:6" x14ac:dyDescent="0.25">
      <c r="A27" t="s">
        <v>142</v>
      </c>
      <c r="B27" t="s">
        <v>11</v>
      </c>
      <c r="C27" t="s">
        <v>175</v>
      </c>
      <c r="D27" t="s">
        <v>178</v>
      </c>
      <c r="E27">
        <v>2030</v>
      </c>
      <c r="F27" s="3">
        <v>0.20000000000000007</v>
      </c>
    </row>
    <row r="28" spans="1:6" x14ac:dyDescent="0.25">
      <c r="A28" t="s">
        <v>142</v>
      </c>
      <c r="B28" t="s">
        <v>11</v>
      </c>
      <c r="C28" t="s">
        <v>175</v>
      </c>
      <c r="D28" t="s">
        <v>178</v>
      </c>
      <c r="E28">
        <v>2031</v>
      </c>
      <c r="F28" s="3">
        <v>0.20000000000000007</v>
      </c>
    </row>
    <row r="29" spans="1:6" x14ac:dyDescent="0.25">
      <c r="A29" t="s">
        <v>142</v>
      </c>
      <c r="B29" t="s">
        <v>11</v>
      </c>
      <c r="C29" t="s">
        <v>175</v>
      </c>
      <c r="D29" t="s">
        <v>178</v>
      </c>
      <c r="E29">
        <v>2032</v>
      </c>
      <c r="F29" s="3">
        <v>0.20000000000000007</v>
      </c>
    </row>
    <row r="30" spans="1:6" x14ac:dyDescent="0.25">
      <c r="A30" t="s">
        <v>142</v>
      </c>
      <c r="B30" t="s">
        <v>11</v>
      </c>
      <c r="C30" t="s">
        <v>175</v>
      </c>
      <c r="D30" t="s">
        <v>178</v>
      </c>
      <c r="E30">
        <v>2033</v>
      </c>
      <c r="F30" s="3">
        <v>0.20000000000000007</v>
      </c>
    </row>
    <row r="31" spans="1:6" x14ac:dyDescent="0.25">
      <c r="A31" t="s">
        <v>142</v>
      </c>
      <c r="B31" t="s">
        <v>11</v>
      </c>
      <c r="C31" t="s">
        <v>175</v>
      </c>
      <c r="D31" t="s">
        <v>178</v>
      </c>
      <c r="E31">
        <v>2034</v>
      </c>
      <c r="F31" s="3">
        <v>0.20000000000000007</v>
      </c>
    </row>
    <row r="32" spans="1:6" x14ac:dyDescent="0.25">
      <c r="A32" t="s">
        <v>142</v>
      </c>
      <c r="B32" t="s">
        <v>11</v>
      </c>
      <c r="C32" t="s">
        <v>175</v>
      </c>
      <c r="D32" t="s">
        <v>178</v>
      </c>
      <c r="E32">
        <v>2035</v>
      </c>
      <c r="F32" s="3">
        <v>0.20000000000000007</v>
      </c>
    </row>
    <row r="33" spans="1:6" x14ac:dyDescent="0.25">
      <c r="A33" t="s">
        <v>142</v>
      </c>
      <c r="B33" t="s">
        <v>11</v>
      </c>
      <c r="C33" t="s">
        <v>175</v>
      </c>
      <c r="D33" t="s">
        <v>178</v>
      </c>
      <c r="E33">
        <v>2036</v>
      </c>
      <c r="F33" s="3">
        <v>0.20000000000000007</v>
      </c>
    </row>
    <row r="34" spans="1:6" x14ac:dyDescent="0.25">
      <c r="A34" t="s">
        <v>142</v>
      </c>
      <c r="B34" t="s">
        <v>11</v>
      </c>
      <c r="C34" t="s">
        <v>175</v>
      </c>
      <c r="D34" t="s">
        <v>178</v>
      </c>
      <c r="E34">
        <v>2037</v>
      </c>
      <c r="F34" s="3">
        <v>0.20000000000000007</v>
      </c>
    </row>
    <row r="35" spans="1:6" x14ac:dyDescent="0.25">
      <c r="A35" t="s">
        <v>142</v>
      </c>
      <c r="B35" t="s">
        <v>11</v>
      </c>
      <c r="C35" t="s">
        <v>175</v>
      </c>
      <c r="D35" t="s">
        <v>178</v>
      </c>
      <c r="E35">
        <v>2038</v>
      </c>
      <c r="F35" s="3">
        <v>0.20000000000000007</v>
      </c>
    </row>
    <row r="36" spans="1:6" x14ac:dyDescent="0.25">
      <c r="A36" t="s">
        <v>142</v>
      </c>
      <c r="B36" t="s">
        <v>11</v>
      </c>
      <c r="C36" t="s">
        <v>175</v>
      </c>
      <c r="D36" t="s">
        <v>178</v>
      </c>
      <c r="E36">
        <v>2039</v>
      </c>
      <c r="F36" s="3">
        <v>0.20000000000000007</v>
      </c>
    </row>
    <row r="37" spans="1:6" x14ac:dyDescent="0.25">
      <c r="A37" t="s">
        <v>142</v>
      </c>
      <c r="B37" t="s">
        <v>11</v>
      </c>
      <c r="C37" t="s">
        <v>175</v>
      </c>
      <c r="D37" t="s">
        <v>178</v>
      </c>
      <c r="E37">
        <v>2040</v>
      </c>
      <c r="F37" s="3">
        <v>0.20000000000000007</v>
      </c>
    </row>
    <row r="38" spans="1:6" x14ac:dyDescent="0.25">
      <c r="A38" t="s">
        <v>142</v>
      </c>
      <c r="B38" t="s">
        <v>11</v>
      </c>
      <c r="C38" t="s">
        <v>176</v>
      </c>
      <c r="D38" t="s">
        <v>178</v>
      </c>
      <c r="E38">
        <v>2023</v>
      </c>
      <c r="F38" s="3">
        <v>0.25974455100343458</v>
      </c>
    </row>
    <row r="39" spans="1:6" x14ac:dyDescent="0.25">
      <c r="A39" t="s">
        <v>142</v>
      </c>
      <c r="B39" t="s">
        <v>11</v>
      </c>
      <c r="C39" t="s">
        <v>176</v>
      </c>
      <c r="D39" t="s">
        <v>178</v>
      </c>
      <c r="E39">
        <v>2024</v>
      </c>
      <c r="F39" s="3">
        <v>0.25619398469305582</v>
      </c>
    </row>
    <row r="40" spans="1:6" x14ac:dyDescent="0.25">
      <c r="A40" t="s">
        <v>142</v>
      </c>
      <c r="B40" t="s">
        <v>11</v>
      </c>
      <c r="C40" t="s">
        <v>176</v>
      </c>
      <c r="D40" t="s">
        <v>178</v>
      </c>
      <c r="E40">
        <v>2025</v>
      </c>
      <c r="F40" s="3">
        <v>0.24577858801849081</v>
      </c>
    </row>
    <row r="41" spans="1:6" x14ac:dyDescent="0.25">
      <c r="A41" t="s">
        <v>142</v>
      </c>
      <c r="B41" t="s">
        <v>11</v>
      </c>
      <c r="C41" t="s">
        <v>176</v>
      </c>
      <c r="D41" t="s">
        <v>178</v>
      </c>
      <c r="E41">
        <v>2026</v>
      </c>
      <c r="F41" s="3">
        <v>0.25132737818304335</v>
      </c>
    </row>
    <row r="42" spans="1:6" x14ac:dyDescent="0.25">
      <c r="A42" t="s">
        <v>142</v>
      </c>
      <c r="B42" t="s">
        <v>11</v>
      </c>
      <c r="C42" t="s">
        <v>176</v>
      </c>
      <c r="D42" t="s">
        <v>178</v>
      </c>
      <c r="E42">
        <v>2027</v>
      </c>
      <c r="F42" s="3">
        <v>0.25</v>
      </c>
    </row>
    <row r="43" spans="1:6" x14ac:dyDescent="0.25">
      <c r="A43" t="s">
        <v>142</v>
      </c>
      <c r="B43" t="s">
        <v>11</v>
      </c>
      <c r="C43" t="s">
        <v>176</v>
      </c>
      <c r="D43" t="s">
        <v>178</v>
      </c>
      <c r="E43">
        <v>2028</v>
      </c>
      <c r="F43" s="3">
        <v>0.25</v>
      </c>
    </row>
    <row r="44" spans="1:6" x14ac:dyDescent="0.25">
      <c r="A44" t="s">
        <v>142</v>
      </c>
      <c r="B44" t="s">
        <v>11</v>
      </c>
      <c r="C44" t="s">
        <v>176</v>
      </c>
      <c r="D44" t="s">
        <v>178</v>
      </c>
      <c r="E44">
        <v>2029</v>
      </c>
      <c r="F44" s="3">
        <v>0.25</v>
      </c>
    </row>
    <row r="45" spans="1:6" x14ac:dyDescent="0.25">
      <c r="A45" t="s">
        <v>142</v>
      </c>
      <c r="B45" t="s">
        <v>11</v>
      </c>
      <c r="C45" t="s">
        <v>176</v>
      </c>
      <c r="D45" t="s">
        <v>178</v>
      </c>
      <c r="E45">
        <v>2030</v>
      </c>
      <c r="F45" s="3">
        <v>0.25</v>
      </c>
    </row>
    <row r="46" spans="1:6" x14ac:dyDescent="0.25">
      <c r="A46" t="s">
        <v>142</v>
      </c>
      <c r="B46" t="s">
        <v>11</v>
      </c>
      <c r="C46" t="s">
        <v>176</v>
      </c>
      <c r="D46" t="s">
        <v>178</v>
      </c>
      <c r="E46">
        <v>2031</v>
      </c>
      <c r="F46" s="3">
        <v>0.25</v>
      </c>
    </row>
    <row r="47" spans="1:6" x14ac:dyDescent="0.25">
      <c r="A47" t="s">
        <v>142</v>
      </c>
      <c r="B47" t="s">
        <v>11</v>
      </c>
      <c r="C47" t="s">
        <v>176</v>
      </c>
      <c r="D47" t="s">
        <v>178</v>
      </c>
      <c r="E47">
        <v>2032</v>
      </c>
      <c r="F47" s="3">
        <v>0.25</v>
      </c>
    </row>
    <row r="48" spans="1:6" x14ac:dyDescent="0.25">
      <c r="A48" t="s">
        <v>142</v>
      </c>
      <c r="B48" t="s">
        <v>11</v>
      </c>
      <c r="C48" t="s">
        <v>176</v>
      </c>
      <c r="D48" t="s">
        <v>178</v>
      </c>
      <c r="E48">
        <v>2033</v>
      </c>
      <c r="F48" s="3">
        <v>0.25</v>
      </c>
    </row>
    <row r="49" spans="1:6" x14ac:dyDescent="0.25">
      <c r="A49" t="s">
        <v>142</v>
      </c>
      <c r="B49" t="s">
        <v>11</v>
      </c>
      <c r="C49" t="s">
        <v>176</v>
      </c>
      <c r="D49" t="s">
        <v>178</v>
      </c>
      <c r="E49">
        <v>2034</v>
      </c>
      <c r="F49" s="3">
        <v>0.25</v>
      </c>
    </row>
    <row r="50" spans="1:6" x14ac:dyDescent="0.25">
      <c r="A50" t="s">
        <v>142</v>
      </c>
      <c r="B50" t="s">
        <v>11</v>
      </c>
      <c r="C50" t="s">
        <v>176</v>
      </c>
      <c r="D50" t="s">
        <v>178</v>
      </c>
      <c r="E50">
        <v>2035</v>
      </c>
      <c r="F50" s="3">
        <v>0.25</v>
      </c>
    </row>
    <row r="51" spans="1:6" x14ac:dyDescent="0.25">
      <c r="A51" t="s">
        <v>142</v>
      </c>
      <c r="B51" t="s">
        <v>11</v>
      </c>
      <c r="C51" t="s">
        <v>176</v>
      </c>
      <c r="D51" t="s">
        <v>178</v>
      </c>
      <c r="E51">
        <v>2036</v>
      </c>
      <c r="F51" s="3">
        <v>0.25</v>
      </c>
    </row>
    <row r="52" spans="1:6" x14ac:dyDescent="0.25">
      <c r="A52" t="s">
        <v>142</v>
      </c>
      <c r="B52" t="s">
        <v>11</v>
      </c>
      <c r="C52" t="s">
        <v>176</v>
      </c>
      <c r="D52" t="s">
        <v>178</v>
      </c>
      <c r="E52">
        <v>2037</v>
      </c>
      <c r="F52" s="3">
        <v>0.25</v>
      </c>
    </row>
    <row r="53" spans="1:6" x14ac:dyDescent="0.25">
      <c r="A53" t="s">
        <v>142</v>
      </c>
      <c r="B53" t="s">
        <v>11</v>
      </c>
      <c r="C53" t="s">
        <v>176</v>
      </c>
      <c r="D53" t="s">
        <v>178</v>
      </c>
      <c r="E53">
        <v>2038</v>
      </c>
      <c r="F53" s="3">
        <v>0.25</v>
      </c>
    </row>
    <row r="54" spans="1:6" x14ac:dyDescent="0.25">
      <c r="A54" t="s">
        <v>142</v>
      </c>
      <c r="B54" t="s">
        <v>11</v>
      </c>
      <c r="C54" t="s">
        <v>176</v>
      </c>
      <c r="D54" t="s">
        <v>178</v>
      </c>
      <c r="E54">
        <v>2039</v>
      </c>
      <c r="F54" s="3">
        <v>0.25</v>
      </c>
    </row>
    <row r="55" spans="1:6" x14ac:dyDescent="0.25">
      <c r="A55" t="s">
        <v>142</v>
      </c>
      <c r="B55" t="s">
        <v>11</v>
      </c>
      <c r="C55" t="s">
        <v>176</v>
      </c>
      <c r="D55" t="s">
        <v>178</v>
      </c>
      <c r="E55">
        <v>2040</v>
      </c>
      <c r="F55" s="3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3bf472f7-a010-4b5a-bb99-a26ed4c99680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7C7907C7A8240A9592AB562926151" ma:contentTypeVersion="6" ma:contentTypeDescription="Create a new document." ma:contentTypeScope="" ma:versionID="3d6fc077c4b912537554a5c5b1cd62a2">
  <xsd:schema xmlns:xsd="http://www.w3.org/2001/XMLSchema" xmlns:xs="http://www.w3.org/2001/XMLSchema" xmlns:p="http://schemas.microsoft.com/office/2006/metadata/properties" xmlns:ns2="87037488-ec5d-4aba-84c2-9b1d22638e8e" xmlns:ns3="2a7cbc52-1ef5-479e-a38c-59f4f50ef712" targetNamespace="http://schemas.microsoft.com/office/2006/metadata/properties" ma:root="true" ma:fieldsID="5a8582947f4bf28f7487478154567f22" ns2:_="" ns3:_="">
    <xsd:import namespace="87037488-ec5d-4aba-84c2-9b1d22638e8e"/>
    <xsd:import namespace="2a7cbc52-1ef5-479e-a38c-59f4f50ef712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3ae0e8d4-a5f5-4380-9009-06eb5f2d3acc}" ma:internalName="TaxCatchAll" ma:showField="CatchAllData" ma:web="c8e43c33-8668-4adf-8cae-fb794328d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3ae0e8d4-a5f5-4380-9009-06eb5f2d3acc}" ma:internalName="TaxCatchAllLabel" ma:readOnly="true" ma:showField="CatchAllDataLabel" ma:web="c8e43c33-8668-4adf-8cae-fb794328d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cbc52-1ef5-479e-a38c-59f4f50ef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TaxCatchAll xmlns="87037488-ec5d-4aba-84c2-9b1d22638e8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9D7CA-5D21-432F-8D2F-FE2225B233E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86A8C0D-CDA2-4A00-B836-EFA7ECE74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2a7cbc52-1ef5-479e-a38c-59f4f50ef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86B161-28B6-4C4E-A759-1ABC944FCD6A}">
  <ds:schemaRefs>
    <ds:schemaRef ds:uri="http://schemas.microsoft.com/office/2006/metadata/properties"/>
    <ds:schemaRef ds:uri="http://schemas.microsoft.com/office/infopath/2007/PartnerControls"/>
    <ds:schemaRef ds:uri="87037488-ec5d-4aba-84c2-9b1d22638e8e"/>
  </ds:schemaRefs>
</ds:datastoreItem>
</file>

<file path=customXml/itemProps4.xml><?xml version="1.0" encoding="utf-8"?>
<ds:datastoreItem xmlns:ds="http://schemas.openxmlformats.org/officeDocument/2006/customXml" ds:itemID="{5328D5D4-E125-42A0-B0E9-610F1C620C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ALIGNE</vt:lpstr>
      <vt:lpstr>COMBINED</vt:lpstr>
      <vt:lpstr>EXCHANGE_FEES</vt:lpstr>
      <vt:lpstr>FORMULA</vt:lpstr>
      <vt:lpstr>ASSETS</vt:lpstr>
      <vt:lpstr>XREF_ASSETS</vt:lpstr>
      <vt:lpstr>PJM_IRIS</vt:lpstr>
      <vt:lpstr>TX</vt:lpstr>
      <vt:lpstr>PJM</vt:lpstr>
      <vt:lpstr>NY</vt:lpstr>
      <vt:lpstr>ISONE</vt:lpstr>
      <vt:lpstr>OTHER</vt:lpstr>
      <vt:lpstr>CPS AND 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MALONE Sean</dc:creator>
  <cp:lastModifiedBy>MULQUEEN Shane (ENGIE North America)</cp:lastModifiedBy>
  <dcterms:created xsi:type="dcterms:W3CDTF">2022-04-06T16:53:55Z</dcterms:created>
  <dcterms:modified xsi:type="dcterms:W3CDTF">2026-08-11T21:48:53Z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2022-04-06T16:53:56Z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9d45f034-7ccc-4be7-bef4-2c5ff08b3960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0x010100D737C7907C7A8240A9592AB562926151</vt:lpwstr>
  </property>
</Properties>
</file>